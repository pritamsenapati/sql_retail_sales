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2.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senap\OneDrive\Documents\Desktop\python data analyst\sales_end to end\"/>
    </mc:Choice>
  </mc:AlternateContent>
  <xr:revisionPtr revIDLastSave="0" documentId="13_ncr:1_{87561455-2F8F-47C9-ABB8-2817A002BF3D}" xr6:coauthVersionLast="47" xr6:coauthVersionMax="47" xr10:uidLastSave="{00000000-0000-0000-0000-000000000000}"/>
  <bookViews>
    <workbookView xWindow="-108" yWindow="-108" windowWidth="23256" windowHeight="12456" firstSheet="1" activeTab="7" xr2:uid="{197EEC64-5299-4283-822F-3105C58F7F27}"/>
  </bookViews>
  <sheets>
    <sheet name="Over view" sheetId="2" r:id="rId1"/>
    <sheet name="Category" sheetId="3" r:id="rId2"/>
    <sheet name="Monthly" sheetId="4" r:id="rId3"/>
    <sheet name="Gender" sheetId="8" r:id="rId4"/>
    <sheet name="Age" sheetId="9" r:id="rId5"/>
    <sheet name="Day" sheetId="10" r:id="rId6"/>
    <sheet name="Quarter" sheetId="17" r:id="rId7"/>
    <sheet name="Dashboard" sheetId="15" r:id="rId8"/>
  </sheets>
  <definedNames>
    <definedName name="Slicer_category">#N/A</definedName>
    <definedName name="Slicer_gender">#N/A</definedName>
    <definedName name="Slicer_month_name">#N/A</definedName>
    <definedName name="Slicer_Quarter_Label">#N/A</definedName>
    <definedName name="Slicer_Year">#N/A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3" i="2" l="1"/>
  <c r="D22" i="2"/>
  <c r="H13" i="2"/>
  <c r="D17" i="2" l="1"/>
  <c r="F17" i="2" s="1" a="1"/>
  <c r="F17" i="2" s="1"/>
  <c r="F13" i="2"/>
  <c r="F22" i="2"/>
  <c r="F9"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<sst xmlns="http://schemas.openxmlformats.org/spreadsheetml/2006/main" count="75" uniqueCount="37">
  <si>
    <t>Male</t>
  </si>
  <si>
    <t>Clothing</t>
  </si>
  <si>
    <t>November</t>
  </si>
  <si>
    <t>Saturday</t>
  </si>
  <si>
    <t>Beauty</t>
  </si>
  <si>
    <t>July</t>
  </si>
  <si>
    <t>Female</t>
  </si>
  <si>
    <t>December</t>
  </si>
  <si>
    <t>Monday</t>
  </si>
  <si>
    <t>January</t>
  </si>
  <si>
    <t>Thursday</t>
  </si>
  <si>
    <t>August</t>
  </si>
  <si>
    <t>October</t>
  </si>
  <si>
    <t>Electronics</t>
  </si>
  <si>
    <t>April</t>
  </si>
  <si>
    <t>Friday</t>
  </si>
  <si>
    <t>May</t>
  </si>
  <si>
    <t>Wednesday</t>
  </si>
  <si>
    <t>March</t>
  </si>
  <si>
    <t>Sunday</t>
  </si>
  <si>
    <t>Tuesday</t>
  </si>
  <si>
    <t>September</t>
  </si>
  <si>
    <t>February</t>
  </si>
  <si>
    <t>June</t>
  </si>
  <si>
    <t>Total Revenue</t>
  </si>
  <si>
    <t>Profit_margin</t>
  </si>
  <si>
    <t>Total Profit</t>
  </si>
  <si>
    <t>Average_transaction_value</t>
  </si>
  <si>
    <t>Average_profit_customer</t>
  </si>
  <si>
    <t>Unique_customer</t>
  </si>
  <si>
    <t>Revenue_per_customer</t>
  </si>
  <si>
    <t>Total_Transaction</t>
  </si>
  <si>
    <t>Repeat Customer Rate</t>
  </si>
  <si>
    <t>Sum of profit</t>
  </si>
  <si>
    <t>Row Labels</t>
  </si>
  <si>
    <t>Grand Total</t>
  </si>
  <si>
    <t>Sum of total_sale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</si>
</sst>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 #,##0.00"/>
    <numFmt numFmtId="165" formatCode="#,##0,&quot;K&quot;"/>
    <numFmt numFmtId="166" formatCode="&quot;Q&quot;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2C333D"/>
        <bgColor indexed="64"/>
      </patternFill>
    </fill>
    <fill>
      <patternFill patternType="solid">
        <fgColor theme="4" tint="-0.249977111117893"/>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164" fontId="0" fillId="0" borderId="0" xfId="0" applyNumberFormat="1"/>
    <xf numFmtId="10"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33" borderId="0" xfId="0" applyFill="1"/>
    <xf numFmtId="0" fontId="0" fillId="34" borderId="0" xfId="0" applyFill="1"/>
    <xf numFmtId="166" fontId="0" fillId="0" borderId="0" xfId="0" applyNumberFormat="1"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165" formatCode="#,##0,&quot;K&quot;"/>
    </dxf>
    <dxf>
      <numFmt numFmtId="165" formatCode="#,##0,&quot;K&quot;"/>
    </dxf>
    <dxf>
      <numFmt numFmtId="165" formatCode="#,##0,&quot;K&quot;"/>
    </dxf>
    <dxf>
      <numFmt numFmtId="165" formatCode="#,##0,&quot;K&quot;"/>
    </dxf>
    <dxf>
      <numFmt numFmtId="165" formatCode="#,##0,&quot;K&quot;"/>
    </dxf>
    <dxf>
      <numFmt numFmtId="165" formatCode="#,##0,&quot;K&quot;"/>
    </dxf>
    <dxf>
      <numFmt numFmtId="165" formatCode="#,##0,&quot;K&quot;"/>
    </dxf>
    <dxf>
      <font>
        <b/>
        <i val="0"/>
        <sz val="10"/>
        <color theme="0"/>
        <name val="Segoe UI"/>
        <family val="2"/>
      </font>
    </dxf>
    <dxf>
      <fill>
        <patternFill>
          <bgColor rgb="FF2A2F3A"/>
        </patternFill>
      </fill>
    </dxf>
  </dxfs>
  <tableStyles count="2" defaultTableStyle="TableStyleMedium2" defaultPivotStyle="PivotStyleLight16">
    <tableStyle name="Invisible" pivot="0" table="0" count="0" xr9:uid="{201E2CA0-9415-4CED-8819-D5FFC6A260DE}"/>
    <tableStyle name="Slicer Style 1" pivot="0" table="0" count="6" xr9:uid="{2A688E5E-6917-49ED-90C0-2DC559702D14}">
      <tableStyleElement type="wholeTable" dxfId="8"/>
      <tableStyleElement type="headerRow" dxfId="7"/>
    </tableStyle>
  </tableStyles>
  <colors>
    <mruColors>
      <color rgb="FF2A2F3A"/>
      <color rgb="FF2C333D"/>
      <color rgb="FF301565"/>
      <color rgb="FF1E222A"/>
      <color rgb="FF20262E"/>
      <color rgb="FF3A414F"/>
      <color rgb="FFF08A5D"/>
      <color rgb="FFA0AAB5"/>
      <color rgb="FFE57339"/>
      <color rgb="FFFFFFFF"/>
    </mruColors>
  </colors>
  <extLst>
    <ext xmlns:x14="http://schemas.microsoft.com/office/spreadsheetml/2009/9/main" uri="{46F421CA-312F-682f-3DD2-61675219B42D}">
      <x14:dxfs count="4">
        <dxf>
          <fill>
            <patternFill>
              <bgColor rgb="FFF08A5D"/>
            </patternFill>
          </fill>
        </dxf>
        <dxf>
          <fill>
            <patternFill>
              <bgColor rgb="FF3A414F"/>
            </patternFill>
          </fill>
        </dxf>
        <dxf>
          <font>
            <b/>
            <i val="0"/>
            <sz val="10"/>
            <color theme="0"/>
            <name val="Segoe UI"/>
            <family val="2"/>
          </font>
          <fill>
            <patternFill>
              <bgColor rgb="FFE57339"/>
            </patternFill>
          </fill>
        </dxf>
        <dxf>
          <font>
            <b val="0"/>
            <i val="0"/>
            <sz val="10"/>
            <color rgb="FFA0AAB5"/>
            <name val="Segoe UI"/>
            <family val="2"/>
          </font>
          <fill>
            <patternFill>
              <bgColor rgb="FF1E222A"/>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2.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[retail_cleaned_ful_Dashboard.xlsx]Category!PivotTable2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Revenue &amp; Profit By Category</a:t>
            </a:r>
          </a:p>
        </c:rich>
      </c:tx>
      <c:layout>
        <c:manualLayout>
          <c:xMode val="edge"/>
          <c:yMode val="edge"/>
          <c:x val="0.12006764398352643"/>
          <c:y val="5.092591469209645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cap="rnd" cmpd="dbl">
            <a:solidFill>
              <a:srgbClr val="FFC000"/>
            </a:solidFill>
          </a:ln>
          <a:effectLst>
            <a:glow>
              <a:schemeClr val="accent4">
                <a:satMod val="175000"/>
                <a:alpha val="0"/>
              </a:schemeClr>
            </a:glow>
            <a:outerShdw blurRad="139700" dir="9600000" algn="r" rotWithShape="0">
              <a:srgbClr val="FFC000">
                <a:alpha val="48000"/>
              </a:srgbClr>
            </a:outerShdw>
            <a:softEdge rad="127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cap="rnd" cmpd="dbl">
            <a:solidFill>
              <a:srgbClr val="FFC000"/>
            </a:solidFill>
          </a:ln>
          <a:effectLst>
            <a:glow>
              <a:schemeClr val="accent4">
                <a:satMod val="175000"/>
                <a:alpha val="0"/>
              </a:schemeClr>
            </a:glow>
            <a:outerShdw blurRad="139700" dir="9600000" algn="r" rotWithShape="0">
              <a:srgbClr val="FFC000">
                <a:alpha val="48000"/>
              </a:srgbClr>
            </a:outerShdw>
            <a:softEdge rad="12700"/>
          </a:effectLst>
        </c:spPr>
        <c:dLbl>
          <c:idx val="0"/>
          <c:layout>
            <c:manualLayout>
              <c:x val="3.6939299083516078E-2"/>
              <c:y val="-4.629555558095151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2.4671052631578896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1.9188596491228071E-2"/>
              <c:y val="-1.38888888888889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s>
    <c:plotArea>
      <c:layout>
        <c:manualLayout>
          <c:layoutTarget val="inner"/>
          <c:xMode val="edge"/>
          <c:yMode val="edge"/>
          <c:x val="0.12086311791671205"/>
          <c:y val="0.24090749447685947"/>
          <c:w val="0.77743807414698163"/>
          <c:h val="0.64788627130110754"/>
        </c:manualLayout>
      </c:layout>
      <c:barChart>
        <c:barDir val="col"/>
        <c:grouping val="clustered"/>
        <c:varyColors val="0"/>
        <c:ser>
          <c:idx val="0"/>
          <c:order val="0"/>
          <c:tx>
            <c:strRef>
              <c:f>Category!$B$3</c:f>
              <c:strCache>
                <c:ptCount val="1"/>
                <c:pt idx="0">
                  <c:v>Total Revenue</c:v>
                </c:pt>
              </c:strCache>
            </c:strRef>
          </c:tx>
          <c:spPr>
            <a:solidFill>
              <a:schemeClr val="accent2"/>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Category!$A$4:$A$7</c:f>
              <c:strCache>
                <c:ptCount val="3"/>
                <c:pt idx="0">
                  <c:v>Beauty</c:v>
                </c:pt>
                <c:pt idx="1">
                  <c:v>Clothing</c:v>
                </c:pt>
                <c:pt idx="2">
                  <c:v>Electronics</c:v>
                </c:pt>
              </c:strCache>
            </c:strRef>
          </c:cat>
          <c:val>
            <c:numRef>
              <c:f>Category!$B$4:$B$7</c:f>
              <c:numCache>
                <c:formatCode>#,##0,"K"</c:formatCode>
                <c:ptCount val="3"/>
                <c:pt idx="0">
                  <c:v>286840</c:v>
                </c:pt>
                <c:pt idx="1">
                  <c:v>311070</c:v>
                </c:pt>
                <c:pt idx="2">
                  <c:v>313810</c:v>
                </c:pt>
              </c:numCache>
            </c:numRef>
          </c:val>
          <c:extLst>
            <c:ext xmlns:c16="http://schemas.microsoft.com/office/drawing/2014/chart" uri="{C3380CC4-5D6E-409C-BE32-E72D297353CC}">
              <c16:uniqueId val="{00000000-4C11-4CF2-B34F-CB4505AF5FF0}"/>
            </c:ext>
          </c:extLst>
        </c:ser>
        <c:ser>
          <c:idx val="1"/>
          <c:order val="1"/>
          <c:tx>
            <c:strRef>
              <c:f>Category!$C$3</c:f>
              <c:strCache>
                <c:ptCount val="1"/>
                <c:pt idx="0">
                  <c:v>Sum of profit</c:v>
                </c:pt>
              </c:strCache>
            </c:strRef>
          </c:tx>
          <c:spPr>
            <a:solidFill>
              <a:srgbClr val="FFC000"/>
            </a:solidFill>
            <a:ln cap="rnd" cmpd="dbl">
              <a:solidFill>
                <a:srgbClr val="FFC000"/>
              </a:solidFill>
            </a:ln>
            <a:effectLst>
              <a:glow>
                <a:schemeClr val="accent4">
                  <a:satMod val="175000"/>
                  <a:alpha val="0"/>
                </a:schemeClr>
              </a:glow>
              <a:outerShdw blurRad="139700" dir="9600000" algn="r" rotWithShape="0">
                <a:srgbClr val="FFC000">
                  <a:alpha val="48000"/>
                </a:srgbClr>
              </a:outerShdw>
              <a:softEdge rad="12700"/>
            </a:effectLst>
          </c:spPr>
          <c:invertIfNegative val="0"/>
          <c:dPt>
            <c:idx val="2"/>
            <c:invertIfNegative val="0"/>
            <c:bubble3D val="0"/>
            <c:extLst>
              <c:ext xmlns:c16="http://schemas.microsoft.com/office/drawing/2014/chart" uri="{C3380CC4-5D6E-409C-BE32-E72D297353CC}">
                <c16:uniqueId val="{00000003-4C11-4CF2-B34F-CB4505AF5FF0}"/>
              </c:ext>
            </c:extLst>
          </c:dPt>
          <c:dLbls>
            <c:dLbl>
              <c:idx val="2"/>
              <c:layout>
                <c:manualLayout>
                  <c:x val="3.6939299083516078E-2"/>
                  <c:y val="-4.629555558095151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C11-4CF2-B34F-CB4505AF5FF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Category!$A$4:$A$7</c:f>
              <c:strCache>
                <c:ptCount val="3"/>
                <c:pt idx="0">
                  <c:v>Beauty</c:v>
                </c:pt>
                <c:pt idx="1">
                  <c:v>Clothing</c:v>
                </c:pt>
                <c:pt idx="2">
                  <c:v>Electronics</c:v>
                </c:pt>
              </c:strCache>
            </c:strRef>
          </c:cat>
          <c:val>
            <c:numRef>
              <c:f>Category!$C$4:$C$7</c:f>
              <c:numCache>
                <c:formatCode>#,##0,"K"</c:formatCode>
                <c:ptCount val="3"/>
                <c:pt idx="0">
                  <c:v>228630.14999999991</c:v>
                </c:pt>
                <c:pt idx="1">
                  <c:v>246679.49999999991</c:v>
                </c:pt>
                <c:pt idx="2">
                  <c:v>246647.64999999997</c:v>
                </c:pt>
              </c:numCache>
            </c:numRef>
          </c:val>
          <c:extLst>
            <c:ext xmlns:c16="http://schemas.microsoft.com/office/drawing/2014/chart" uri="{C3380CC4-5D6E-409C-BE32-E72D297353CC}">
              <c16:uniqueId val="{00000001-4C11-4CF2-B34F-CB4505AF5FF0}"/>
            </c:ext>
          </c:extLst>
        </c:ser>
        <c:dLbls>
          <c:dLblPos val="outEnd"/>
          <c:showLegendKey val="0"/>
          <c:showVal val="1"/>
          <c:showCatName val="0"/>
          <c:showSerName val="0"/>
          <c:showPercent val="0"/>
          <c:showBubbleSize val="0"/>
        </c:dLbls>
        <c:gapWidth val="100"/>
        <c:overlap val="-24"/>
        <c:axId val="1808208336"/>
        <c:axId val="1808192016"/>
      </c:barChart>
      <c:catAx>
        <c:axId val="18082083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a:outerShdw blurRad="50800" dist="38100" dir="16200000" rotWithShape="0">
              <a:prstClr val="black">
                <a:alpha val="40000"/>
              </a:prstClr>
            </a:outerShdw>
          </a:effectLst>
        </c:spPr>
        <c:txPr>
          <a:bodyPr rot="-60000000" spcFirstLastPara="1" vertOverflow="ellipsis" vert="horz" wrap="square" anchor="ctr" anchorCtr="1"/>
          <a:lstStyle/>
          <a:p>
            <a:pPr>
              <a:defRPr sz="1000" b="1" i="0" u="none" strike="noStrike" kern="1200" baseline="0">
                <a:solidFill>
                  <a:schemeClr val="lt1">
                    <a:lumMod val="85000"/>
                  </a:schemeClr>
                </a:solidFill>
                <a:effectLst>
                  <a:glow rad="63500">
                    <a:srgbClr val="00B050">
                      <a:alpha val="40000"/>
                    </a:srgbClr>
                  </a:glow>
                  <a:outerShdw blurRad="50800" dist="38100" dir="5400000" algn="t" rotWithShape="0">
                    <a:schemeClr val="bg1">
                      <a:alpha val="40000"/>
                    </a:schemeClr>
                  </a:outerShdw>
                </a:effectLst>
                <a:latin typeface="+mn-lt"/>
                <a:ea typeface="+mn-ea"/>
                <a:cs typeface="+mn-cs"/>
              </a:defRPr>
            </a:pPr>
            <a:endParaRPr lang="en-US"/>
          </a:p>
        </c:txPr>
        <c:crossAx val="1808192016"/>
        <c:crosses val="autoZero"/>
        <c:auto val="1"/>
        <c:lblAlgn val="ctr"/>
        <c:lblOffset val="100"/>
        <c:noMultiLvlLbl val="0"/>
      </c:catAx>
      <c:valAx>
        <c:axId val="1808192016"/>
        <c:scaling>
          <c:orientation val="minMax"/>
        </c:scaling>
        <c:delete val="0"/>
        <c:axPos val="l"/>
        <c:majorGridlines>
          <c:spPr>
            <a:ln w="9525" cap="flat" cmpd="sng" algn="ctr">
              <a:no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8208336"/>
        <c:crosses val="autoZero"/>
        <c:crossBetween val="between"/>
      </c:valAx>
      <c:spPr>
        <a:noFill/>
        <a:ln>
          <a:noFill/>
        </a:ln>
        <a:effectLst/>
      </c:spPr>
    </c:plotArea>
    <c:legend>
      <c:legendPos val="t"/>
      <c:layout>
        <c:manualLayout>
          <c:xMode val="edge"/>
          <c:yMode val="edge"/>
          <c:x val="0.24932968209840578"/>
          <c:y val="0.16194144838212635"/>
          <c:w val="0.39100377696690353"/>
          <c:h val="8.140433241792678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12700" cap="rnd" cmpd="dbl">
      <a:solidFill>
        <a:srgbClr val="00B0F0"/>
      </a:solidFill>
    </a:ln>
    <a:effectLst>
      <a:glow rad="76200">
        <a:schemeClr val="accent5">
          <a:satMod val="175000"/>
          <a:alpha val="40000"/>
        </a:schemeClr>
      </a:glow>
      <a:outerShdw blurRad="190500" dist="50800" dir="5400000" sx="95000" sy="95000" algn="ctr" rotWithShape="0">
        <a:srgbClr val="00B0F0">
          <a:alpha val="43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[retail_cleaned_ful_Dashboard.xlsx]Monthly!PivotTable1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Monthly Revenue &amp; Profit Trend</a:t>
            </a:r>
          </a:p>
        </c:rich>
      </c:tx>
      <c:layout>
        <c:manualLayout>
          <c:xMode val="edge"/>
          <c:yMode val="edge"/>
          <c:x val="0.11273600174978129"/>
          <c:y val="2.688172043010752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glow>
              <a:schemeClr val="accent2">
                <a:satMod val="175000"/>
                <a:alpha val="40000"/>
              </a:schemeClr>
            </a:glo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glow>
                <a:schemeClr val="accent2">
                  <a:satMod val="175000"/>
                  <a:alpha val="40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glow>
              <a:schemeClr val="accent2">
                <a:satMod val="175000"/>
                <a:alpha val="40000"/>
              </a:schemeClr>
            </a:glo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glow>
                <a:schemeClr val="accent2">
                  <a:satMod val="175000"/>
                  <a:alpha val="40000"/>
                </a:schemeClr>
              </a:glow>
            </a:effectLst>
          </c:spPr>
        </c:marker>
      </c:pivotFmt>
    </c:pivotFmts>
    <c:plotArea>
      <c:layout>
        <c:manualLayout>
          <c:layoutTarget val="inner"/>
          <c:xMode val="edge"/>
          <c:yMode val="edge"/>
          <c:x val="0.15451691849329643"/>
          <c:y val="0.28225806451612906"/>
          <c:w val="0.78461121413877322"/>
          <c:h val="0.52269812039624086"/>
        </c:manualLayout>
      </c:layout>
      <c:lineChart>
        <c:grouping val="stacked"/>
        <c:varyColors val="0"/>
        <c:ser>
          <c:idx val="0"/>
          <c:order val="0"/>
          <c:tx>
            <c:strRef>
              <c:f>Monthly!$B$3</c:f>
              <c:strCache>
                <c:ptCount val="1"/>
                <c:pt idx="0">
                  <c:v>Sum of total_sale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Monthly!$A$4:$A$16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Monthly!$B$4:$B$16</c:f>
              <c:numCache>
                <c:formatCode>#,##0,"K"</c:formatCode>
                <c:ptCount val="12"/>
                <c:pt idx="0">
                  <c:v>46425</c:v>
                </c:pt>
                <c:pt idx="1">
                  <c:v>41280</c:v>
                </c:pt>
                <c:pt idx="2">
                  <c:v>45035</c:v>
                </c:pt>
                <c:pt idx="3">
                  <c:v>50630</c:v>
                </c:pt>
                <c:pt idx="4">
                  <c:v>51990</c:v>
                </c:pt>
                <c:pt idx="5">
                  <c:v>45255</c:v>
                </c:pt>
                <c:pt idx="6">
                  <c:v>58120</c:v>
                </c:pt>
                <c:pt idx="7">
                  <c:v>49465</c:v>
                </c:pt>
                <c:pt idx="8">
                  <c:v>129330</c:v>
                </c:pt>
                <c:pt idx="9">
                  <c:v>126115</c:v>
                </c:pt>
                <c:pt idx="10">
                  <c:v>126050</c:v>
                </c:pt>
                <c:pt idx="11">
                  <c:v>142025</c:v>
                </c:pt>
              </c:numCache>
            </c:numRef>
          </c:val>
          <c:smooth val="0"/>
          <c:extLst>
            <c:ext xmlns:c16="http://schemas.microsoft.com/office/drawing/2014/chart" uri="{C3380CC4-5D6E-409C-BE32-E72D297353CC}">
              <c16:uniqueId val="{00000000-4E36-4F5A-A773-48A32649CC67}"/>
            </c:ext>
          </c:extLst>
        </c:ser>
        <c:ser>
          <c:idx val="1"/>
          <c:order val="1"/>
          <c:tx>
            <c:strRef>
              <c:f>Monthly!$C$3</c:f>
              <c:strCache>
                <c:ptCount val="1"/>
                <c:pt idx="0">
                  <c:v>Sum of profit</c:v>
                </c:pt>
              </c:strCache>
            </c:strRef>
          </c:tx>
          <c:spPr>
            <a:ln w="34925" cap="rnd">
              <a:solidFill>
                <a:schemeClr val="accent2"/>
              </a:solidFill>
              <a:round/>
            </a:ln>
            <a:effectLst>
              <a:glow>
                <a:schemeClr val="accent2">
                  <a:satMod val="175000"/>
                  <a:alpha val="40000"/>
                </a:schemeClr>
              </a:glo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glow>
                  <a:schemeClr val="accent2">
                    <a:satMod val="175000"/>
                    <a:alpha val="40000"/>
                  </a:schemeClr>
                </a:glow>
              </a:effectLst>
            </c:spPr>
          </c:marker>
          <c:dPt>
            <c:idx val="7"/>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glow>
                    <a:schemeClr val="accent2">
                      <a:satMod val="175000"/>
                      <a:alpha val="40000"/>
                    </a:schemeClr>
                  </a:glow>
                </a:effectLst>
              </c:spPr>
            </c:marker>
            <c:bubble3D val="0"/>
            <c:spPr>
              <a:ln w="34925" cap="rnd">
                <a:solidFill>
                  <a:schemeClr val="accent2"/>
                </a:solidFill>
                <a:round/>
              </a:ln>
              <a:effectLst>
                <a:glow>
                  <a:schemeClr val="accent2">
                    <a:satMod val="175000"/>
                    <a:alpha val="40000"/>
                  </a:schemeClr>
                </a:glow>
              </a:effectLst>
            </c:spPr>
            <c:extLst>
              <c:ext xmlns:c16="http://schemas.microsoft.com/office/drawing/2014/chart" uri="{C3380CC4-5D6E-409C-BE32-E72D297353CC}">
                <c16:uniqueId val="{00000001-0FF3-4E42-8DA1-CD87012DD1E3}"/>
              </c:ext>
            </c:extLst>
          </c:dPt>
          <c:cat>
            <c:strRef>
              <c:f>Monthly!$A$4:$A$16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Monthly!$C$4:$C$16</c:f>
              <c:numCache>
                <c:formatCode>#,##0,"K"</c:formatCode>
                <c:ptCount val="12"/>
                <c:pt idx="0">
                  <c:v>39444.55000000001</c:v>
                </c:pt>
                <c:pt idx="1">
                  <c:v>34536.249999999993</c:v>
                </c:pt>
                <c:pt idx="2">
                  <c:v>37739.100000000006</c:v>
                </c:pt>
                <c:pt idx="3">
                  <c:v>42234.650000000009</c:v>
                </c:pt>
                <c:pt idx="4">
                  <c:v>43553.450000000004</c:v>
                </c:pt>
                <c:pt idx="5">
                  <c:v>37456.350000000006</c:v>
                </c:pt>
                <c:pt idx="6">
                  <c:v>48564.999999999985</c:v>
                </c:pt>
                <c:pt idx="7">
                  <c:v>41080.899999999994</c:v>
                </c:pt>
                <c:pt idx="8">
                  <c:v>99046.2</c:v>
                </c:pt>
                <c:pt idx="9">
                  <c:v>91749.900000000009</c:v>
                </c:pt>
                <c:pt idx="10">
                  <c:v>97515.449999999983</c:v>
                </c:pt>
                <c:pt idx="11">
                  <c:v>109035.5</c:v>
                </c:pt>
              </c:numCache>
            </c:numRef>
          </c:val>
          <c:smooth val="0"/>
          <c:extLst>
            <c:ext xmlns:c16="http://schemas.microsoft.com/office/drawing/2014/chart" uri="{C3380CC4-5D6E-409C-BE32-E72D297353CC}">
              <c16:uniqueId val="{00000001-4E36-4F5A-A773-48A32649CC67}"/>
            </c:ext>
          </c:extLst>
        </c:ser>
        <c:dLbls>
          <c:showLegendKey val="0"/>
          <c:showVal val="0"/>
          <c:showCatName val="0"/>
          <c:showSerName val="0"/>
          <c:showPercent val="0"/>
          <c:showBubbleSize val="0"/>
        </c:dLbls>
        <c:dropLines>
          <c:spPr>
            <a:ln w="9525">
              <a:solidFill>
                <a:schemeClr val="lt1">
                  <a:lumMod val="95000"/>
                  <a:alpha val="54000"/>
                </a:schemeClr>
              </a:solidFill>
              <a:prstDash val="dash"/>
            </a:ln>
            <a:effectLst/>
          </c:spPr>
        </c:dropLines>
        <c:marker val="1"/>
        <c:smooth val="0"/>
        <c:axId val="711981071"/>
        <c:axId val="711981551"/>
      </c:lineChart>
      <c:catAx>
        <c:axId val="71198107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1981551"/>
        <c:crosses val="autoZero"/>
        <c:auto val="1"/>
        <c:lblAlgn val="ctr"/>
        <c:lblOffset val="100"/>
        <c:noMultiLvlLbl val="0"/>
      </c:catAx>
      <c:valAx>
        <c:axId val="711981551"/>
        <c:scaling>
          <c:orientation val="minMax"/>
        </c:scaling>
        <c:delete val="0"/>
        <c:axPos val="l"/>
        <c:majorGridlines>
          <c:spPr>
            <a:ln w="9525" cap="flat" cmpd="sng" algn="ctr">
              <a:gradFill>
                <a:gsLst>
                  <a:gs pos="0">
                    <a:schemeClr val="accent1">
                      <a:lumMod val="5000"/>
                      <a:lumOff val="95000"/>
                    </a:schemeClr>
                  </a:gs>
                  <a:gs pos="27000">
                    <a:schemeClr val="accent1">
                      <a:lumMod val="45000"/>
                      <a:lumOff val="55000"/>
                    </a:schemeClr>
                  </a:gs>
                  <a:gs pos="49000">
                    <a:schemeClr val="accent1">
                      <a:lumMod val="45000"/>
                      <a:lumOff val="55000"/>
                    </a:schemeClr>
                  </a:gs>
                  <a:gs pos="12000">
                    <a:schemeClr val="accent1">
                      <a:lumMod val="30000"/>
                      <a:lumOff val="70000"/>
                    </a:schemeClr>
                  </a:gs>
                </a:gsLst>
                <a:lin ang="5400000" scaled="0"/>
              </a:gra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ln w="0">
                  <a:solidFill>
                    <a:schemeClr val="bg1">
                      <a:alpha val="59000"/>
                    </a:schemeClr>
                  </a:solidFill>
                </a:ln>
                <a:solidFill>
                  <a:schemeClr val="lt1">
                    <a:lumMod val="85000"/>
                  </a:schemeClr>
                </a:solidFill>
                <a:effectLst>
                  <a:glow rad="63500">
                    <a:schemeClr val="accent1">
                      <a:satMod val="175000"/>
                      <a:alpha val="40000"/>
                    </a:schemeClr>
                  </a:glow>
                </a:effectLst>
                <a:latin typeface="+mn-lt"/>
                <a:ea typeface="+mn-ea"/>
                <a:cs typeface="+mn-cs"/>
              </a:defRPr>
            </a:pPr>
            <a:endParaRPr lang="en-US"/>
          </a:p>
        </c:txPr>
        <c:crossAx val="711981071"/>
        <c:crosses val="autoZero"/>
        <c:crossBetween val="between"/>
      </c:valAx>
      <c:spPr>
        <a:noFill/>
        <a:ln>
          <a:noFill/>
        </a:ln>
        <a:effectLst/>
      </c:spPr>
    </c:plotArea>
    <c:legend>
      <c:legendPos val="t"/>
      <c:layout>
        <c:manualLayout>
          <c:xMode val="edge"/>
          <c:yMode val="edge"/>
          <c:x val="0.11998490813648291"/>
          <c:y val="0.1591845878136201"/>
          <c:w val="0.55060593718888584"/>
          <c:h val="7.560536787740243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[retail_cleaned_ful_Dashboard.xlsx]Gender!PivotTable3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Gender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00B0F0">
                <a:alpha val="71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7030A0"/>
          </a:solidFill>
          <a:ln>
            <a:noFill/>
          </a:ln>
          <a:effectLst>
            <a:outerShdw blurRad="57150" dist="19050" dir="5400000" algn="ctr" rotWithShape="0">
              <a:srgbClr val="000000">
                <a:alpha val="63000"/>
              </a:srgbClr>
            </a:outerShdw>
          </a:effectLst>
        </c:spPr>
        <c:dLbl>
          <c:idx val="0"/>
          <c:layout>
            <c:manualLayout>
              <c:x val="0.1213418986438257"/>
              <c:y val="-5.546311702717693E-3"/>
            </c:manualLayout>
          </c:layout>
          <c:spPr>
            <a:solidFill>
              <a:srgbClr val="00B0F0">
                <a:alpha val="71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lumMod val="60000"/>
              <a:lumOff val="40000"/>
            </a:schemeClr>
          </a:solidFill>
          <a:ln>
            <a:noFill/>
          </a:ln>
          <a:effectLst>
            <a:outerShdw blurRad="57150" dist="19050" dir="5400000" algn="ctr" rotWithShape="0">
              <a:srgbClr val="000000">
                <a:alpha val="63000"/>
              </a:srgbClr>
            </a:outerShdw>
          </a:effectLst>
        </c:spPr>
        <c:dLbl>
          <c:idx val="0"/>
          <c:layout>
            <c:manualLayout>
              <c:x val="-0.11063526052819418"/>
              <c:y val="-5.546311702717693E-3"/>
            </c:manualLayout>
          </c:layout>
          <c:spPr>
            <a:solidFill>
              <a:srgbClr val="00B0F0">
                <a:alpha val="71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6493594241313895"/>
          <c:y val="0.39402185421006242"/>
          <c:w val="0.46462756511871661"/>
          <c:h val="0.52826323538825937"/>
        </c:manualLayout>
      </c:layout>
      <c:doughnutChart>
        <c:varyColors val="1"/>
        <c:ser>
          <c:idx val="0"/>
          <c:order val="0"/>
          <c:tx>
            <c:strRef>
              <c:f>Gender!$B$3</c:f>
              <c:strCache>
                <c:ptCount val="1"/>
                <c:pt idx="0">
                  <c:v>Total</c:v>
                </c:pt>
              </c:strCache>
            </c:strRef>
          </c:tx>
          <c:dPt>
            <c:idx val="0"/>
            <c:bubble3D val="0"/>
            <c:spPr>
              <a:solidFill>
                <a:srgbClr val="7030A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B1C3-4EDD-BC0B-0932B4752AD5}"/>
              </c:ext>
            </c:extLst>
          </c:dPt>
          <c:dPt>
            <c:idx val="1"/>
            <c:bubble3D val="0"/>
            <c:spPr>
              <a:solidFill>
                <a:schemeClr val="accent2">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1C3-4EDD-BC0B-0932B4752AD5}"/>
              </c:ext>
            </c:extLst>
          </c:dPt>
          <c:dLbls>
            <c:dLbl>
              <c:idx val="0"/>
              <c:layout>
                <c:manualLayout>
                  <c:x val="0.1213418986438257"/>
                  <c:y val="-5.546311702717693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B1C3-4EDD-BC0B-0932B4752AD5}"/>
                </c:ext>
              </c:extLst>
            </c:dLbl>
            <c:dLbl>
              <c:idx val="1"/>
              <c:layout>
                <c:manualLayout>
                  <c:x val="-0.11063526052819418"/>
                  <c:y val="-5.546311702717693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1C3-4EDD-BC0B-0932B4752AD5}"/>
                </c:ext>
              </c:extLst>
            </c:dLbl>
            <c:spPr>
              <a:solidFill>
                <a:srgbClr val="00B0F0">
                  <a:alpha val="71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Gender!$A$4:$A$6</c:f>
              <c:strCache>
                <c:ptCount val="2"/>
                <c:pt idx="0">
                  <c:v>Female</c:v>
                </c:pt>
                <c:pt idx="1">
                  <c:v>Male</c:v>
                </c:pt>
              </c:strCache>
            </c:strRef>
          </c:cat>
          <c:val>
            <c:numRef>
              <c:f>Gender!$B$4:$B$6</c:f>
              <c:numCache>
                <c:formatCode>#,##0,"K"</c:formatCode>
                <c:ptCount val="2"/>
                <c:pt idx="0">
                  <c:v>465400</c:v>
                </c:pt>
                <c:pt idx="1">
                  <c:v>446320</c:v>
                </c:pt>
              </c:numCache>
            </c:numRef>
          </c:val>
          <c:extLst>
            <c:ext xmlns:c16="http://schemas.microsoft.com/office/drawing/2014/chart" uri="{C3380CC4-5D6E-409C-BE32-E72D297353CC}">
              <c16:uniqueId val="{00000000-B1C3-4EDD-BC0B-0932B4752AD5}"/>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0.28553398646951311"/>
          <c:y val="0.26929330831769854"/>
          <c:w val="0.42893202706097383"/>
          <c:h val="0.105535447843878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[retail_cleaned_ful_Dashboard.xlsx]Age!PivotTable4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Age Group</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7D1FA7"/>
          </a:solidFill>
          <a:ln>
            <a:solidFill>
              <a:srgbClr val="00B0F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Age!$B$3</c:f>
              <c:strCache>
                <c:ptCount val="1"/>
                <c:pt idx="0">
                  <c:v>Total</c:v>
                </c:pt>
              </c:strCache>
            </c:strRef>
          </c:tx>
          <c:spPr>
            <a:solidFill>
              <a:srgbClr val="7D1FA7"/>
            </a:solidFill>
            <a:ln>
              <a:solidFill>
                <a:srgbClr val="00B0F0"/>
              </a:solidFill>
            </a:ln>
            <a:effectLst/>
          </c:spPr>
          <c:invertIfNegative val="0"/>
          <c:cat>
            <c:strRef>
              <c:f>Age!$A$4:$A$52</c:f>
              <c:strCache>
                <c:ptCount val="48"/>
                <c:pt idx="0">
                  <c:v>0</c:v>
                </c:pt>
                <c:pt idx="1">
                  <c:v>18</c:v>
                </c:pt>
                <c:pt idx="2">
                  <c:v>19</c:v>
                </c:pt>
                <c:pt idx="3">
                  <c:v>20</c:v>
                </c:pt>
                <c:pt idx="4">
                  <c:v>21</c:v>
                </c:pt>
                <c:pt idx="5">
                  <c:v>22</c:v>
                </c:pt>
                <c:pt idx="6">
                  <c:v>23</c:v>
                </c:pt>
                <c:pt idx="7">
                  <c:v>24</c:v>
                </c:pt>
                <c:pt idx="8">
                  <c:v>25</c:v>
                </c:pt>
                <c:pt idx="9">
                  <c:v>26</c:v>
                </c:pt>
                <c:pt idx="10">
                  <c:v>27</c:v>
                </c:pt>
                <c:pt idx="11">
                  <c:v>28</c:v>
                </c:pt>
                <c:pt idx="12">
                  <c:v>29</c:v>
                </c:pt>
                <c:pt idx="13">
                  <c:v>30</c:v>
                </c:pt>
                <c:pt idx="14">
                  <c:v>31</c:v>
                </c:pt>
                <c:pt idx="15">
                  <c:v>32</c:v>
                </c:pt>
                <c:pt idx="16">
                  <c:v>33</c:v>
                </c:pt>
                <c:pt idx="17">
                  <c:v>34</c:v>
                </c:pt>
                <c:pt idx="18">
                  <c:v>35</c:v>
                </c:pt>
                <c:pt idx="19">
                  <c:v>36</c:v>
                </c:pt>
                <c:pt idx="20">
                  <c:v>37</c:v>
                </c:pt>
                <c:pt idx="21">
                  <c:v>38</c:v>
                </c:pt>
                <c:pt idx="22">
                  <c:v>39</c:v>
                </c:pt>
                <c:pt idx="23">
                  <c:v>40</c:v>
                </c:pt>
                <c:pt idx="24">
                  <c:v>41</c:v>
                </c:pt>
                <c:pt idx="25">
                  <c:v>42</c:v>
                </c:pt>
                <c:pt idx="26">
                  <c:v>43</c:v>
                </c:pt>
                <c:pt idx="27">
                  <c:v>44</c:v>
                </c:pt>
                <c:pt idx="28">
                  <c:v>45</c:v>
                </c:pt>
                <c:pt idx="29">
                  <c:v>46</c:v>
                </c:pt>
                <c:pt idx="30">
                  <c:v>47</c:v>
                </c:pt>
                <c:pt idx="31">
                  <c:v>48</c:v>
                </c:pt>
                <c:pt idx="32">
                  <c:v>49</c:v>
                </c:pt>
                <c:pt idx="33">
                  <c:v>50</c:v>
                </c:pt>
                <c:pt idx="34">
                  <c:v>51</c:v>
                </c:pt>
                <c:pt idx="35">
                  <c:v>52</c:v>
                </c:pt>
                <c:pt idx="36">
                  <c:v>53</c:v>
                </c:pt>
                <c:pt idx="37">
                  <c:v>54</c:v>
                </c:pt>
                <c:pt idx="38">
                  <c:v>55</c:v>
                </c:pt>
                <c:pt idx="39">
                  <c:v>56</c:v>
                </c:pt>
                <c:pt idx="40">
                  <c:v>57</c:v>
                </c:pt>
                <c:pt idx="41">
                  <c:v>58</c:v>
                </c:pt>
                <c:pt idx="42">
                  <c:v>59</c:v>
                </c:pt>
                <c:pt idx="43">
                  <c:v>60</c:v>
                </c:pt>
                <c:pt idx="44">
                  <c:v>61</c:v>
                </c:pt>
                <c:pt idx="45">
                  <c:v>62</c:v>
                </c:pt>
                <c:pt idx="46">
                  <c:v>63</c:v>
                </c:pt>
                <c:pt idx="47">
                  <c:v>64</c:v>
                </c:pt>
              </c:strCache>
            </c:strRef>
          </c:cat>
          <c:val>
            <c:numRef>
              <c:f>Age!$B$4:$B$52</c:f>
              <c:numCache>
                <c:formatCode>General</c:formatCode>
                <c:ptCount val="48"/>
                <c:pt idx="0">
                  <c:v>3490</c:v>
                </c:pt>
                <c:pt idx="1">
                  <c:v>22340</c:v>
                </c:pt>
                <c:pt idx="2">
                  <c:v>29690</c:v>
                </c:pt>
                <c:pt idx="3">
                  <c:v>17290</c:v>
                </c:pt>
                <c:pt idx="4">
                  <c:v>25170</c:v>
                </c:pt>
                <c:pt idx="5">
                  <c:v>27400</c:v>
                </c:pt>
                <c:pt idx="6">
                  <c:v>16440</c:v>
                </c:pt>
                <c:pt idx="7">
                  <c:v>10830</c:v>
                </c:pt>
                <c:pt idx="8">
                  <c:v>19800</c:v>
                </c:pt>
                <c:pt idx="9">
                  <c:v>27960</c:v>
                </c:pt>
                <c:pt idx="10">
                  <c:v>18770</c:v>
                </c:pt>
                <c:pt idx="11">
                  <c:v>17340</c:v>
                </c:pt>
                <c:pt idx="12">
                  <c:v>13140</c:v>
                </c:pt>
                <c:pt idx="13">
                  <c:v>19580</c:v>
                </c:pt>
                <c:pt idx="14">
                  <c:v>20440</c:v>
                </c:pt>
                <c:pt idx="15">
                  <c:v>11100</c:v>
                </c:pt>
                <c:pt idx="16">
                  <c:v>12390</c:v>
                </c:pt>
                <c:pt idx="17">
                  <c:v>33570</c:v>
                </c:pt>
                <c:pt idx="18">
                  <c:v>22580</c:v>
                </c:pt>
                <c:pt idx="19">
                  <c:v>18210</c:v>
                </c:pt>
                <c:pt idx="20">
                  <c:v>23300</c:v>
                </c:pt>
                <c:pt idx="21">
                  <c:v>22200</c:v>
                </c:pt>
                <c:pt idx="22">
                  <c:v>9190</c:v>
                </c:pt>
                <c:pt idx="23">
                  <c:v>18755</c:v>
                </c:pt>
                <c:pt idx="24">
                  <c:v>11300</c:v>
                </c:pt>
                <c:pt idx="25">
                  <c:v>17000</c:v>
                </c:pt>
                <c:pt idx="26">
                  <c:v>35940</c:v>
                </c:pt>
                <c:pt idx="27">
                  <c:v>15120</c:v>
                </c:pt>
                <c:pt idx="28">
                  <c:v>12650</c:v>
                </c:pt>
                <c:pt idx="29">
                  <c:v>26180</c:v>
                </c:pt>
                <c:pt idx="30">
                  <c:v>25010</c:v>
                </c:pt>
                <c:pt idx="31">
                  <c:v>14480</c:v>
                </c:pt>
                <c:pt idx="32">
                  <c:v>10220</c:v>
                </c:pt>
                <c:pt idx="33">
                  <c:v>19690</c:v>
                </c:pt>
                <c:pt idx="34">
                  <c:v>32055</c:v>
                </c:pt>
                <c:pt idx="35">
                  <c:v>14080</c:v>
                </c:pt>
                <c:pt idx="36">
                  <c:v>19020</c:v>
                </c:pt>
                <c:pt idx="37">
                  <c:v>20010</c:v>
                </c:pt>
                <c:pt idx="38">
                  <c:v>19560</c:v>
                </c:pt>
                <c:pt idx="39">
                  <c:v>18880</c:v>
                </c:pt>
                <c:pt idx="40">
                  <c:v>18430</c:v>
                </c:pt>
                <c:pt idx="41">
                  <c:v>14550</c:v>
                </c:pt>
                <c:pt idx="42">
                  <c:v>18940</c:v>
                </c:pt>
                <c:pt idx="43">
                  <c:v>21180</c:v>
                </c:pt>
                <c:pt idx="44">
                  <c:v>13460</c:v>
                </c:pt>
                <c:pt idx="45">
                  <c:v>16240</c:v>
                </c:pt>
                <c:pt idx="46">
                  <c:v>18500</c:v>
                </c:pt>
                <c:pt idx="47">
                  <c:v>18250</c:v>
                </c:pt>
              </c:numCache>
            </c:numRef>
          </c:val>
          <c:extLst>
            <c:ext xmlns:c16="http://schemas.microsoft.com/office/drawing/2014/chart" uri="{C3380CC4-5D6E-409C-BE32-E72D297353CC}">
              <c16:uniqueId val="{00000000-6EE9-488E-AC55-1E668FCA3A2F}"/>
            </c:ext>
          </c:extLst>
        </c:ser>
        <c:dLbls>
          <c:showLegendKey val="0"/>
          <c:showVal val="0"/>
          <c:showCatName val="0"/>
          <c:showSerName val="0"/>
          <c:showPercent val="0"/>
          <c:showBubbleSize val="0"/>
        </c:dLbls>
        <c:gapWidth val="115"/>
        <c:overlap val="-20"/>
        <c:axId val="617217151"/>
        <c:axId val="617215231"/>
      </c:barChart>
      <c:catAx>
        <c:axId val="61721715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7215231"/>
        <c:crosses val="autoZero"/>
        <c:auto val="1"/>
        <c:lblAlgn val="ctr"/>
        <c:lblOffset val="100"/>
        <c:noMultiLvlLbl val="0"/>
      </c:catAx>
      <c:valAx>
        <c:axId val="61721523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crossAx val="617217151"/>
        <c:crosses val="autoZero"/>
        <c:crossBetween val="between"/>
      </c:valAx>
      <c:spPr>
        <a:noFill/>
        <a:ln>
          <a:noFill/>
        </a:ln>
        <a:effectLst/>
      </c:spPr>
    </c:plotArea>
    <c:legend>
      <c:legendPos val="t"/>
      <c:layout>
        <c:manualLayout>
          <c:xMode val="edge"/>
          <c:yMode val="edge"/>
          <c:x val="0.45265551181102365"/>
          <c:y val="0.15986111111111112"/>
          <c:w val="0.17524453193350831"/>
          <c:h val="7.81255468066491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[retail_cleaned_ful_Dashboard.xlsx]Day!PivotTable5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Revenue &amp; Profit By Day</a:t>
            </a:r>
          </a:p>
          <a:p>
            <a:pPr>
              <a:defRPr/>
            </a:pPr>
            <a:endParaRPr lang="en-IN"/>
          </a:p>
        </c:rich>
      </c:tx>
      <c:layout>
        <c:manualLayout>
          <c:xMode val="edge"/>
          <c:yMode val="edge"/>
          <c:x val="9.0270778652668401E-2"/>
          <c:y val="4.629629629629629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00206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2">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Day!$B$3</c:f>
              <c:strCache>
                <c:ptCount val="1"/>
                <c:pt idx="0">
                  <c:v>Sum of profit</c:v>
                </c:pt>
              </c:strCache>
            </c:strRef>
          </c:tx>
          <c:spPr>
            <a:solidFill>
              <a:srgbClr val="002060"/>
            </a:solidFill>
            <a:ln>
              <a:noFill/>
            </a:ln>
            <a:effectLst>
              <a:outerShdw blurRad="57150" dist="19050" dir="5400000" algn="ctr" rotWithShape="0">
                <a:srgbClr val="000000">
                  <a:alpha val="63000"/>
                </a:srgbClr>
              </a:outerShdw>
            </a:effectLst>
          </c:spPr>
          <c:invertIfNegative val="0"/>
          <c:cat>
            <c:strRef>
              <c:f>Day!$A$4:$A$11</c:f>
              <c:strCache>
                <c:ptCount val="7"/>
                <c:pt idx="0">
                  <c:v>Sunday</c:v>
                </c:pt>
                <c:pt idx="1">
                  <c:v>Monday</c:v>
                </c:pt>
                <c:pt idx="2">
                  <c:v>Tuesday</c:v>
                </c:pt>
                <c:pt idx="3">
                  <c:v>Wednesday</c:v>
                </c:pt>
                <c:pt idx="4">
                  <c:v>Thursday</c:v>
                </c:pt>
                <c:pt idx="5">
                  <c:v>Friday</c:v>
                </c:pt>
                <c:pt idx="6">
                  <c:v>Saturday</c:v>
                </c:pt>
              </c:strCache>
            </c:strRef>
          </c:cat>
          <c:val>
            <c:numRef>
              <c:f>Day!$B$4:$B$11</c:f>
              <c:numCache>
                <c:formatCode>#,##0,"K"</c:formatCode>
                <c:ptCount val="7"/>
                <c:pt idx="0">
                  <c:v>121007.1</c:v>
                </c:pt>
                <c:pt idx="1">
                  <c:v>118174.79999999996</c:v>
                </c:pt>
                <c:pt idx="2">
                  <c:v>83141.450000000012</c:v>
                </c:pt>
                <c:pt idx="3">
                  <c:v>94948.249999999985</c:v>
                </c:pt>
                <c:pt idx="4">
                  <c:v>99708.450000000012</c:v>
                </c:pt>
                <c:pt idx="5">
                  <c:v>95685.900000000023</c:v>
                </c:pt>
                <c:pt idx="6">
                  <c:v>109291.34999999998</c:v>
                </c:pt>
              </c:numCache>
            </c:numRef>
          </c:val>
          <c:extLst>
            <c:ext xmlns:c16="http://schemas.microsoft.com/office/drawing/2014/chart" uri="{C3380CC4-5D6E-409C-BE32-E72D297353CC}">
              <c16:uniqueId val="{00000000-E259-476E-9A7B-420175FD0040}"/>
            </c:ext>
          </c:extLst>
        </c:ser>
        <c:dLbls>
          <c:showLegendKey val="0"/>
          <c:showVal val="0"/>
          <c:showCatName val="0"/>
          <c:showSerName val="0"/>
          <c:showPercent val="0"/>
          <c:showBubbleSize val="0"/>
        </c:dLbls>
        <c:gapWidth val="219"/>
        <c:axId val="1552287311"/>
        <c:axId val="1552286351"/>
      </c:barChart>
      <c:lineChart>
        <c:grouping val="standard"/>
        <c:varyColors val="0"/>
        <c:ser>
          <c:idx val="1"/>
          <c:order val="1"/>
          <c:tx>
            <c:strRef>
              <c:f>Day!$C$3</c:f>
              <c:strCache>
                <c:ptCount val="1"/>
                <c:pt idx="0">
                  <c:v>Sum of total_sale</c:v>
                </c:pt>
              </c:strCache>
            </c:strRef>
          </c:tx>
          <c:spPr>
            <a:ln w="34925" cap="rnd">
              <a:solidFill>
                <a:schemeClr val="accent2">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Day!$A$4:$A$11</c:f>
              <c:strCache>
                <c:ptCount val="7"/>
                <c:pt idx="0">
                  <c:v>Sunday</c:v>
                </c:pt>
                <c:pt idx="1">
                  <c:v>Monday</c:v>
                </c:pt>
                <c:pt idx="2">
                  <c:v>Tuesday</c:v>
                </c:pt>
                <c:pt idx="3">
                  <c:v>Wednesday</c:v>
                </c:pt>
                <c:pt idx="4">
                  <c:v>Thursday</c:v>
                </c:pt>
                <c:pt idx="5">
                  <c:v>Friday</c:v>
                </c:pt>
                <c:pt idx="6">
                  <c:v>Saturday</c:v>
                </c:pt>
              </c:strCache>
            </c:strRef>
          </c:cat>
          <c:val>
            <c:numRef>
              <c:f>Day!$C$4:$C$11</c:f>
              <c:numCache>
                <c:formatCode>#,##0,"K"</c:formatCode>
                <c:ptCount val="7"/>
                <c:pt idx="0">
                  <c:v>153800</c:v>
                </c:pt>
                <c:pt idx="1">
                  <c:v>147695</c:v>
                </c:pt>
                <c:pt idx="2">
                  <c:v>103395</c:v>
                </c:pt>
                <c:pt idx="3">
                  <c:v>120615</c:v>
                </c:pt>
                <c:pt idx="4">
                  <c:v>124085</c:v>
                </c:pt>
                <c:pt idx="5">
                  <c:v>120730</c:v>
                </c:pt>
                <c:pt idx="6">
                  <c:v>141400</c:v>
                </c:pt>
              </c:numCache>
            </c:numRef>
          </c:val>
          <c:smooth val="0"/>
          <c:extLst>
            <c:ext xmlns:c16="http://schemas.microsoft.com/office/drawing/2014/chart" uri="{C3380CC4-5D6E-409C-BE32-E72D297353CC}">
              <c16:uniqueId val="{00000001-E259-476E-9A7B-420175FD0040}"/>
            </c:ext>
          </c:extLst>
        </c:ser>
        <c:dLbls>
          <c:showLegendKey val="0"/>
          <c:showVal val="0"/>
          <c:showCatName val="0"/>
          <c:showSerName val="0"/>
          <c:showPercent val="0"/>
          <c:showBubbleSize val="0"/>
        </c:dLbls>
        <c:marker val="1"/>
        <c:smooth val="0"/>
        <c:axId val="425206607"/>
        <c:axId val="425204207"/>
      </c:lineChart>
      <c:catAx>
        <c:axId val="15522873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crossAx val="1552286351"/>
        <c:crosses val="autoZero"/>
        <c:auto val="1"/>
        <c:lblAlgn val="ctr"/>
        <c:lblOffset val="100"/>
        <c:noMultiLvlLbl val="0"/>
      </c:catAx>
      <c:valAx>
        <c:axId val="1552286351"/>
        <c:scaling>
          <c:orientation val="minMax"/>
        </c:scaling>
        <c:delete val="0"/>
        <c:axPos val="l"/>
        <c:majorGridlines>
          <c:spPr>
            <a:ln w="9525" cap="flat" cmpd="sng" algn="ctr">
              <a:solidFill>
                <a:schemeClr val="lt1">
                  <a:lumMod val="95000"/>
                  <a:alpha val="10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2287311"/>
        <c:crosses val="autoZero"/>
        <c:crossBetween val="between"/>
      </c:valAx>
      <c:valAx>
        <c:axId val="425204207"/>
        <c:scaling>
          <c:orientation val="minMax"/>
        </c:scaling>
        <c:delete val="0"/>
        <c:axPos val="r"/>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5206607"/>
        <c:crosses val="max"/>
        <c:crossBetween val="between"/>
      </c:valAx>
      <c:catAx>
        <c:axId val="425206607"/>
        <c:scaling>
          <c:orientation val="minMax"/>
        </c:scaling>
        <c:delete val="1"/>
        <c:axPos val="b"/>
        <c:numFmt formatCode="General" sourceLinked="1"/>
        <c:majorTickMark val="none"/>
        <c:minorTickMark val="none"/>
        <c:tickLblPos val="nextTo"/>
        <c:crossAx val="42520420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[retail_cleaned_ful_Dashboard.xlsx]Quarter!PivotTable1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Revenue By Quarter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6"/>
          <c:y val="0.28703703703703703"/>
          <c:w val="0.65356649168853898"/>
          <c:h val="0.60556357538641004"/>
        </c:manualLayout>
      </c:layout>
      <c:barChart>
        <c:barDir val="col"/>
        <c:grouping val="clustered"/>
        <c:varyColors val="0"/>
        <c:ser>
          <c:idx val="0"/>
          <c:order val="0"/>
          <c:tx>
            <c:strRef>
              <c:f>Quarter!$B$3</c:f>
              <c:strCache>
                <c:ptCount val="1"/>
                <c:pt idx="0">
                  <c:v>Sum of total_sale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Quarter!$A$4:$A$8</c:f>
              <c:strCache>
                <c:ptCount val="4"/>
                <c:pt idx="0">
                  <c:v>Q1</c:v>
                </c:pt>
                <c:pt idx="1">
                  <c:v>Q2</c:v>
                </c:pt>
                <c:pt idx="2">
                  <c:v>Q3</c:v>
                </c:pt>
                <c:pt idx="3">
                  <c:v>Q4</c:v>
                </c:pt>
              </c:strCache>
            </c:strRef>
          </c:cat>
          <c:val>
            <c:numRef>
              <c:f>Quarter!$B$4:$B$8</c:f>
              <c:numCache>
                <c:formatCode>General</c:formatCode>
                <c:ptCount val="4"/>
                <c:pt idx="0">
                  <c:v>132740</c:v>
                </c:pt>
                <c:pt idx="1">
                  <c:v>147875</c:v>
                </c:pt>
                <c:pt idx="2">
                  <c:v>236915</c:v>
                </c:pt>
                <c:pt idx="3">
                  <c:v>394190</c:v>
                </c:pt>
              </c:numCache>
            </c:numRef>
          </c:val>
          <c:extLst>
            <c:ext xmlns:c16="http://schemas.microsoft.com/office/drawing/2014/chart" uri="{C3380CC4-5D6E-409C-BE32-E72D297353CC}">
              <c16:uniqueId val="{00000000-0BF2-435B-B619-80F0816AC356}"/>
            </c:ext>
          </c:extLst>
        </c:ser>
        <c:ser>
          <c:idx val="1"/>
          <c:order val="1"/>
          <c:tx>
            <c:strRef>
              <c:f>Quarter!$C$3</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Quarter!$A$4:$A$8</c:f>
              <c:strCache>
                <c:ptCount val="4"/>
                <c:pt idx="0">
                  <c:v>Q1</c:v>
                </c:pt>
                <c:pt idx="1">
                  <c:v>Q2</c:v>
                </c:pt>
                <c:pt idx="2">
                  <c:v>Q3</c:v>
                </c:pt>
                <c:pt idx="3">
                  <c:v>Q4</c:v>
                </c:pt>
              </c:strCache>
            </c:strRef>
          </c:cat>
          <c:val>
            <c:numRef>
              <c:f>Quarter!$C$4:$C$8</c:f>
              <c:numCache>
                <c:formatCode>General</c:formatCode>
                <c:ptCount val="4"/>
                <c:pt idx="0">
                  <c:v>111719.9</c:v>
                </c:pt>
                <c:pt idx="1">
                  <c:v>123244.45</c:v>
                </c:pt>
                <c:pt idx="2">
                  <c:v>188692.10000000003</c:v>
                </c:pt>
                <c:pt idx="3">
                  <c:v>298300.84999999998</c:v>
                </c:pt>
              </c:numCache>
            </c:numRef>
          </c:val>
          <c:extLst>
            <c:ext xmlns:c16="http://schemas.microsoft.com/office/drawing/2014/chart" uri="{C3380CC4-5D6E-409C-BE32-E72D297353CC}">
              <c16:uniqueId val="{00000001-0BF2-435B-B619-80F0816AC356}"/>
            </c:ext>
          </c:extLst>
        </c:ser>
        <c:dLbls>
          <c:showLegendKey val="0"/>
          <c:showVal val="0"/>
          <c:showCatName val="0"/>
          <c:showSerName val="0"/>
          <c:showPercent val="0"/>
          <c:showBubbleSize val="0"/>
        </c:dLbls>
        <c:gapWidth val="100"/>
        <c:overlap val="-24"/>
        <c:axId val="1772066447"/>
        <c:axId val="1772066927"/>
      </c:barChart>
      <c:catAx>
        <c:axId val="17720664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2066927"/>
        <c:crosses val="autoZero"/>
        <c:auto val="1"/>
        <c:lblAlgn val="ctr"/>
        <c:lblOffset val="100"/>
        <c:noMultiLvlLbl val="0"/>
      </c:catAx>
      <c:valAx>
        <c:axId val="177206692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206644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[retail_cleaned_ful_Dashboard.xlsx]Monthly!PivotTable1</c:name>
    <c:fmtId val="9"/>
  </c:pivotSource>
  <c:chart>
    <c:title>
      <c:tx>
        <c:rich>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Monthly Revenue &amp; Profit Trend</a:t>
            </a:r>
          </a:p>
        </c:rich>
      </c:tx>
      <c:layout>
        <c:manualLayout>
          <c:xMode val="edge"/>
          <c:yMode val="edge"/>
          <c:x val="0.11273600174978129"/>
          <c:y val="2.6881720430107527E-2"/>
        </c:manualLayout>
      </c:layout>
      <c:overlay val="0"/>
      <c:spPr>
        <a:noFill/>
        <a:ln>
          <a:noFill/>
        </a:ln>
        <a:effectLst/>
      </c:spPr>
      <c:txPr>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glow>
              <a:schemeClr val="accent2">
                <a:satMod val="175000"/>
                <a:alpha val="40000"/>
              </a:schemeClr>
            </a:glo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glow>
                <a:schemeClr val="accent2">
                  <a:satMod val="175000"/>
                  <a:alpha val="40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glow>
              <a:schemeClr val="accent2">
                <a:satMod val="175000"/>
                <a:alpha val="40000"/>
              </a:schemeClr>
            </a:glo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glow>
                <a:schemeClr val="accent2">
                  <a:satMod val="175000"/>
                  <a:alpha val="40000"/>
                </a:schemeClr>
              </a:glo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glow>
              <a:schemeClr val="accent2">
                <a:satMod val="175000"/>
                <a:alpha val="40000"/>
              </a:schemeClr>
            </a:glo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glow>
                <a:schemeClr val="accent2">
                  <a:satMod val="175000"/>
                  <a:alpha val="40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glow>
              <a:schemeClr val="accent2">
                <a:satMod val="175000"/>
                <a:alpha val="40000"/>
              </a:schemeClr>
            </a:glo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glow>
                <a:schemeClr val="accent2">
                  <a:satMod val="175000"/>
                  <a:alpha val="40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51691849329643"/>
          <c:y val="0.28225806451612906"/>
          <c:w val="0.78461121413877322"/>
          <c:h val="0.52269812039624086"/>
        </c:manualLayout>
      </c:layout>
      <c:lineChart>
        <c:grouping val="stacked"/>
        <c:varyColors val="0"/>
        <c:ser>
          <c:idx val="0"/>
          <c:order val="0"/>
          <c:tx>
            <c:strRef>
              <c:f>Monthly!$B$3</c:f>
              <c:strCache>
                <c:ptCount val="1"/>
                <c:pt idx="0">
                  <c:v>Sum of total_sale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Monthly!$A$4:$A$16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Monthly!$B$4:$B$16</c:f>
              <c:numCache>
                <c:formatCode>#,##0,"K"</c:formatCode>
                <c:ptCount val="12"/>
                <c:pt idx="0">
                  <c:v>46425</c:v>
                </c:pt>
                <c:pt idx="1">
                  <c:v>41280</c:v>
                </c:pt>
                <c:pt idx="2">
                  <c:v>45035</c:v>
                </c:pt>
                <c:pt idx="3">
                  <c:v>50630</c:v>
                </c:pt>
                <c:pt idx="4">
                  <c:v>51990</c:v>
                </c:pt>
                <c:pt idx="5">
                  <c:v>45255</c:v>
                </c:pt>
                <c:pt idx="6">
                  <c:v>58120</c:v>
                </c:pt>
                <c:pt idx="7">
                  <c:v>49465</c:v>
                </c:pt>
                <c:pt idx="8">
                  <c:v>129330</c:v>
                </c:pt>
                <c:pt idx="9">
                  <c:v>126115</c:v>
                </c:pt>
                <c:pt idx="10">
                  <c:v>126050</c:v>
                </c:pt>
                <c:pt idx="11">
                  <c:v>142025</c:v>
                </c:pt>
              </c:numCache>
            </c:numRef>
          </c:val>
          <c:smooth val="0"/>
          <c:extLst>
            <c:ext xmlns:c16="http://schemas.microsoft.com/office/drawing/2014/chart" uri="{C3380CC4-5D6E-409C-BE32-E72D297353CC}">
              <c16:uniqueId val="{00000000-4912-4CFF-985F-C622A4D6D0E9}"/>
            </c:ext>
          </c:extLst>
        </c:ser>
        <c:ser>
          <c:idx val="1"/>
          <c:order val="1"/>
          <c:tx>
            <c:strRef>
              <c:f>Monthly!$C$3</c:f>
              <c:strCache>
                <c:ptCount val="1"/>
                <c:pt idx="0">
                  <c:v>Sum of profit</c:v>
                </c:pt>
              </c:strCache>
            </c:strRef>
          </c:tx>
          <c:spPr>
            <a:ln w="34925" cap="rnd">
              <a:solidFill>
                <a:schemeClr val="accent2"/>
              </a:solidFill>
              <a:round/>
            </a:ln>
            <a:effectLst>
              <a:glow>
                <a:schemeClr val="accent2">
                  <a:satMod val="175000"/>
                  <a:alpha val="40000"/>
                </a:schemeClr>
              </a:glo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glow>
                  <a:schemeClr val="accent2">
                    <a:satMod val="175000"/>
                    <a:alpha val="40000"/>
                  </a:schemeClr>
                </a:glow>
              </a:effectLst>
            </c:spPr>
          </c:marker>
          <c:cat>
            <c:strRef>
              <c:f>Monthly!$A$4:$A$16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Monthly!$C$4:$C$16</c:f>
              <c:numCache>
                <c:formatCode>#,##0,"K"</c:formatCode>
                <c:ptCount val="12"/>
                <c:pt idx="0">
                  <c:v>39444.55000000001</c:v>
                </c:pt>
                <c:pt idx="1">
                  <c:v>34536.249999999993</c:v>
                </c:pt>
                <c:pt idx="2">
                  <c:v>37739.100000000006</c:v>
                </c:pt>
                <c:pt idx="3">
                  <c:v>42234.650000000009</c:v>
                </c:pt>
                <c:pt idx="4">
                  <c:v>43553.450000000004</c:v>
                </c:pt>
                <c:pt idx="5">
                  <c:v>37456.350000000006</c:v>
                </c:pt>
                <c:pt idx="6">
                  <c:v>48564.999999999985</c:v>
                </c:pt>
                <c:pt idx="7">
                  <c:v>41080.899999999994</c:v>
                </c:pt>
                <c:pt idx="8">
                  <c:v>99046.2</c:v>
                </c:pt>
                <c:pt idx="9">
                  <c:v>91749.900000000009</c:v>
                </c:pt>
                <c:pt idx="10">
                  <c:v>97515.449999999983</c:v>
                </c:pt>
                <c:pt idx="11">
                  <c:v>109035.5</c:v>
                </c:pt>
              </c:numCache>
            </c:numRef>
          </c:val>
          <c:smooth val="0"/>
          <c:extLst>
            <c:ext xmlns:c16="http://schemas.microsoft.com/office/drawing/2014/chart" uri="{C3380CC4-5D6E-409C-BE32-E72D297353CC}">
              <c16:uniqueId val="{00000001-4912-4CFF-985F-C622A4D6D0E9}"/>
            </c:ext>
          </c:extLst>
        </c:ser>
        <c:dLbls>
          <c:showLegendKey val="0"/>
          <c:showVal val="0"/>
          <c:showCatName val="0"/>
          <c:showSerName val="0"/>
          <c:showPercent val="0"/>
          <c:showBubbleSize val="0"/>
        </c:dLbls>
        <c:dropLines>
          <c:spPr>
            <a:ln w="9525">
              <a:solidFill>
                <a:schemeClr val="lt1">
                  <a:lumMod val="95000"/>
                  <a:alpha val="54000"/>
                </a:schemeClr>
              </a:solidFill>
              <a:prstDash val="dash"/>
            </a:ln>
            <a:effectLst/>
          </c:spPr>
        </c:dropLines>
        <c:marker val="1"/>
        <c:smooth val="0"/>
        <c:axId val="711981071"/>
        <c:axId val="711981551"/>
      </c:lineChart>
      <c:catAx>
        <c:axId val="71198107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1981551"/>
        <c:crosses val="autoZero"/>
        <c:auto val="1"/>
        <c:lblAlgn val="ctr"/>
        <c:lblOffset val="100"/>
        <c:noMultiLvlLbl val="0"/>
      </c:catAx>
      <c:valAx>
        <c:axId val="711981551"/>
        <c:scaling>
          <c:orientation val="minMax"/>
        </c:scaling>
        <c:delete val="0"/>
        <c:axPos val="l"/>
        <c:majorGridlines>
          <c:spPr>
            <a:ln w="9525" cap="flat" cmpd="sng" algn="ctr">
              <a:gradFill>
                <a:gsLst>
                  <a:gs pos="0">
                    <a:schemeClr val="accent1">
                      <a:lumMod val="5000"/>
                      <a:lumOff val="95000"/>
                    </a:schemeClr>
                  </a:gs>
                  <a:gs pos="27000">
                    <a:schemeClr val="accent1">
                      <a:lumMod val="45000"/>
                      <a:lumOff val="55000"/>
                    </a:schemeClr>
                  </a:gs>
                  <a:gs pos="49000">
                    <a:schemeClr val="accent1">
                      <a:lumMod val="45000"/>
                      <a:lumOff val="55000"/>
                    </a:schemeClr>
                  </a:gs>
                  <a:gs pos="12000">
                    <a:schemeClr val="accent1">
                      <a:lumMod val="30000"/>
                      <a:lumOff val="70000"/>
                    </a:schemeClr>
                  </a:gs>
                </a:gsLst>
                <a:lin ang="5400000" scaled="0"/>
              </a:gra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ln w="0">
                  <a:solidFill>
                    <a:schemeClr val="bg1">
                      <a:alpha val="59000"/>
                    </a:schemeClr>
                  </a:solidFill>
                </a:ln>
                <a:solidFill>
                  <a:schemeClr val="lt1">
                    <a:lumMod val="85000"/>
                  </a:schemeClr>
                </a:solidFill>
                <a:effectLst>
                  <a:glow rad="63500">
                    <a:schemeClr val="accent1">
                      <a:satMod val="175000"/>
                      <a:alpha val="40000"/>
                    </a:schemeClr>
                  </a:glow>
                </a:effectLst>
                <a:latin typeface="+mn-lt"/>
                <a:ea typeface="+mn-ea"/>
                <a:cs typeface="+mn-cs"/>
              </a:defRPr>
            </a:pPr>
            <a:endParaRPr lang="en-US"/>
          </a:p>
        </c:txPr>
        <c:crossAx val="711981071"/>
        <c:crosses val="autoZero"/>
        <c:crossBetween val="between"/>
      </c:valAx>
      <c:spPr>
        <a:noFill/>
        <a:ln>
          <a:noFill/>
        </a:ln>
        <a:effectLst/>
      </c:spPr>
    </c:plotArea>
    <c:legend>
      <c:legendPos val="t"/>
      <c:layout>
        <c:manualLayout>
          <c:xMode val="edge"/>
          <c:yMode val="edge"/>
          <c:x val="0.11998490813648291"/>
          <c:y val="0.1591845878136201"/>
          <c:w val="0.55060593718888584"/>
          <c:h val="7.560536787740243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rgbClr val="2A2F3A">
          <a:alpha val="50980"/>
        </a:srgbClr>
      </a:solidFill>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[retail_cleaned_ful_Dashboard.xlsx]Category!PivotTable2</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Revenue &amp; Profit By Category</a:t>
            </a:r>
          </a:p>
        </c:rich>
      </c:tx>
      <c:layout>
        <c:manualLayout>
          <c:xMode val="edge"/>
          <c:yMode val="edge"/>
          <c:x val="0.12006764398352643"/>
          <c:y val="5.092591469209645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cap="rnd" cmpd="dbl">
            <a:solidFill>
              <a:srgbClr val="FFC000"/>
            </a:solidFill>
          </a:ln>
          <a:effectLst>
            <a:glow>
              <a:schemeClr val="accent4">
                <a:satMod val="175000"/>
                <a:alpha val="0"/>
              </a:schemeClr>
            </a:glow>
            <a:outerShdw blurRad="139700" dir="9600000" algn="r" rotWithShape="0">
              <a:srgbClr val="FFC000">
                <a:alpha val="48000"/>
              </a:srgbClr>
            </a:outerShdw>
            <a:softEdge rad="127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cap="rnd" cmpd="dbl">
            <a:solidFill>
              <a:srgbClr val="FFC000"/>
            </a:solidFill>
          </a:ln>
          <a:effectLst>
            <a:glow>
              <a:schemeClr val="accent4">
                <a:satMod val="175000"/>
                <a:alpha val="0"/>
              </a:schemeClr>
            </a:glow>
            <a:outerShdw blurRad="139700" dir="9600000" algn="r" rotWithShape="0">
              <a:srgbClr val="FFC000">
                <a:alpha val="48000"/>
              </a:srgbClr>
            </a:outerShdw>
            <a:softEdge rad="12700"/>
          </a:effectLst>
        </c:spPr>
        <c:dLbl>
          <c:idx val="0"/>
          <c:layout>
            <c:manualLayout>
              <c:x val="3.6939299083516078E-2"/>
              <c:y val="-4.629555558095151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2.4671052631578896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1.9188596491228071E-2"/>
              <c:y val="-1.38888888888889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C000"/>
          </a:solidFill>
          <a:ln cap="rnd" cmpd="dbl">
            <a:solidFill>
              <a:srgbClr val="FFC000"/>
            </a:solidFill>
          </a:ln>
          <a:effectLst>
            <a:glow>
              <a:schemeClr val="accent4">
                <a:satMod val="175000"/>
                <a:alpha val="0"/>
              </a:schemeClr>
            </a:glow>
            <a:outerShdw blurRad="139700" dir="9600000" algn="r" rotWithShape="0">
              <a:srgbClr val="FFC000">
                <a:alpha val="48000"/>
              </a:srgbClr>
            </a:outerShdw>
            <a:softEdge rad="127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C000"/>
          </a:solidFill>
          <a:ln cap="rnd" cmpd="dbl">
            <a:solidFill>
              <a:srgbClr val="FFC000"/>
            </a:solidFill>
          </a:ln>
          <a:effectLst>
            <a:glow>
              <a:schemeClr val="accent4">
                <a:satMod val="175000"/>
                <a:alpha val="0"/>
              </a:schemeClr>
            </a:glow>
            <a:outerShdw blurRad="139700" dir="9600000" algn="r" rotWithShape="0">
              <a:srgbClr val="FFC000">
                <a:alpha val="48000"/>
              </a:srgbClr>
            </a:outerShdw>
            <a:softEdge rad="12700"/>
          </a:effectLst>
        </c:spPr>
        <c:dLbl>
          <c:idx val="0"/>
          <c:layout>
            <c:manualLayout>
              <c:x val="3.6939299083516078E-2"/>
              <c:y val="-4.629555558095151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C000"/>
          </a:solidFill>
          <a:ln cap="rnd" cmpd="dbl">
            <a:solidFill>
              <a:srgbClr val="FFC000"/>
            </a:solidFill>
          </a:ln>
          <a:effectLst>
            <a:glow>
              <a:schemeClr val="accent4">
                <a:satMod val="175000"/>
                <a:alpha val="0"/>
              </a:schemeClr>
            </a:glow>
            <a:outerShdw blurRad="139700" dir="9600000" algn="r" rotWithShape="0">
              <a:srgbClr val="FFC000">
                <a:alpha val="48000"/>
              </a:srgbClr>
            </a:outerShdw>
            <a:softEdge rad="127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C000"/>
          </a:solidFill>
          <a:ln cap="rnd" cmpd="dbl">
            <a:solidFill>
              <a:srgbClr val="FFC000"/>
            </a:solidFill>
          </a:ln>
          <a:effectLst>
            <a:glow>
              <a:schemeClr val="accent4">
                <a:satMod val="175000"/>
                <a:alpha val="0"/>
              </a:schemeClr>
            </a:glow>
            <a:outerShdw blurRad="139700" dir="9600000" algn="r" rotWithShape="0">
              <a:srgbClr val="FFC000">
                <a:alpha val="48000"/>
              </a:srgbClr>
            </a:outerShdw>
            <a:softEdge rad="12700"/>
          </a:effectLst>
        </c:spPr>
        <c:dLbl>
          <c:idx val="0"/>
          <c:layout>
            <c:manualLayout>
              <c:x val="3.6939299083516078E-2"/>
              <c:y val="-4.629555558095151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86311791671205"/>
          <c:y val="0.24090749447685947"/>
          <c:w val="0.77743807414698163"/>
          <c:h val="0.64788627130110754"/>
        </c:manualLayout>
      </c:layout>
      <c:barChart>
        <c:barDir val="col"/>
        <c:grouping val="clustered"/>
        <c:varyColors val="0"/>
        <c:ser>
          <c:idx val="0"/>
          <c:order val="0"/>
          <c:tx>
            <c:strRef>
              <c:f>Category!$B$3</c:f>
              <c:strCache>
                <c:ptCount val="1"/>
                <c:pt idx="0">
                  <c:v>Total Revenue</c:v>
                </c:pt>
              </c:strCache>
            </c:strRef>
          </c:tx>
          <c:spPr>
            <a:solidFill>
              <a:schemeClr val="accent2"/>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Category!$A$4:$A$7</c:f>
              <c:strCache>
                <c:ptCount val="3"/>
                <c:pt idx="0">
                  <c:v>Beauty</c:v>
                </c:pt>
                <c:pt idx="1">
                  <c:v>Clothing</c:v>
                </c:pt>
                <c:pt idx="2">
                  <c:v>Electronics</c:v>
                </c:pt>
              </c:strCache>
            </c:strRef>
          </c:cat>
          <c:val>
            <c:numRef>
              <c:f>Category!$B$4:$B$7</c:f>
              <c:numCache>
                <c:formatCode>#,##0,"K"</c:formatCode>
                <c:ptCount val="3"/>
                <c:pt idx="0">
                  <c:v>286840</c:v>
                </c:pt>
                <c:pt idx="1">
                  <c:v>311070</c:v>
                </c:pt>
                <c:pt idx="2">
                  <c:v>313810</c:v>
                </c:pt>
              </c:numCache>
            </c:numRef>
          </c:val>
          <c:extLst>
            <c:ext xmlns:c16="http://schemas.microsoft.com/office/drawing/2014/chart" uri="{C3380CC4-5D6E-409C-BE32-E72D297353CC}">
              <c16:uniqueId val="{00000000-8AE1-4831-8115-76DDA65492A8}"/>
            </c:ext>
          </c:extLst>
        </c:ser>
        <c:ser>
          <c:idx val="1"/>
          <c:order val="1"/>
          <c:tx>
            <c:strRef>
              <c:f>Category!$C$3</c:f>
              <c:strCache>
                <c:ptCount val="1"/>
                <c:pt idx="0">
                  <c:v>Sum of profit</c:v>
                </c:pt>
              </c:strCache>
            </c:strRef>
          </c:tx>
          <c:spPr>
            <a:solidFill>
              <a:srgbClr val="FFC000"/>
            </a:solidFill>
            <a:ln cap="rnd" cmpd="dbl">
              <a:solidFill>
                <a:srgbClr val="FFC000"/>
              </a:solidFill>
            </a:ln>
            <a:effectLst>
              <a:glow>
                <a:schemeClr val="accent4">
                  <a:satMod val="175000"/>
                  <a:alpha val="0"/>
                </a:schemeClr>
              </a:glow>
              <a:outerShdw blurRad="139700" dir="9600000" algn="r" rotWithShape="0">
                <a:srgbClr val="FFC000">
                  <a:alpha val="48000"/>
                </a:srgbClr>
              </a:outerShdw>
              <a:softEdge rad="12700"/>
            </a:effectLst>
          </c:spPr>
          <c:invertIfNegative val="0"/>
          <c:dPt>
            <c:idx val="2"/>
            <c:invertIfNegative val="0"/>
            <c:bubble3D val="0"/>
            <c:extLst>
              <c:ext xmlns:c16="http://schemas.microsoft.com/office/drawing/2014/chart" uri="{C3380CC4-5D6E-409C-BE32-E72D297353CC}">
                <c16:uniqueId val="{00000001-8AE1-4831-8115-76DDA65492A8}"/>
              </c:ext>
            </c:extLst>
          </c:dPt>
          <c:dLbls>
            <c:dLbl>
              <c:idx val="2"/>
              <c:layout>
                <c:manualLayout>
                  <c:x val="3.6939299083516078E-2"/>
                  <c:y val="-4.629555558095151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AE1-4831-8115-76DDA65492A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Category!$A$4:$A$7</c:f>
              <c:strCache>
                <c:ptCount val="3"/>
                <c:pt idx="0">
                  <c:v>Beauty</c:v>
                </c:pt>
                <c:pt idx="1">
                  <c:v>Clothing</c:v>
                </c:pt>
                <c:pt idx="2">
                  <c:v>Electronics</c:v>
                </c:pt>
              </c:strCache>
            </c:strRef>
          </c:cat>
          <c:val>
            <c:numRef>
              <c:f>Category!$C$4:$C$7</c:f>
              <c:numCache>
                <c:formatCode>#,##0,"K"</c:formatCode>
                <c:ptCount val="3"/>
                <c:pt idx="0">
                  <c:v>228630.14999999991</c:v>
                </c:pt>
                <c:pt idx="1">
                  <c:v>246679.49999999991</c:v>
                </c:pt>
                <c:pt idx="2">
                  <c:v>246647.64999999997</c:v>
                </c:pt>
              </c:numCache>
            </c:numRef>
          </c:val>
          <c:extLst>
            <c:ext xmlns:c16="http://schemas.microsoft.com/office/drawing/2014/chart" uri="{C3380CC4-5D6E-409C-BE32-E72D297353CC}">
              <c16:uniqueId val="{00000002-8AE1-4831-8115-76DDA65492A8}"/>
            </c:ext>
          </c:extLst>
        </c:ser>
        <c:dLbls>
          <c:dLblPos val="outEnd"/>
          <c:showLegendKey val="0"/>
          <c:showVal val="1"/>
          <c:showCatName val="0"/>
          <c:showSerName val="0"/>
          <c:showPercent val="0"/>
          <c:showBubbleSize val="0"/>
        </c:dLbls>
        <c:gapWidth val="100"/>
        <c:overlap val="-24"/>
        <c:axId val="1808208336"/>
        <c:axId val="1808192016"/>
      </c:barChart>
      <c:catAx>
        <c:axId val="18082083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a:outerShdw blurRad="50800" dist="38100" dir="16200000" rotWithShape="0">
              <a:prstClr val="black">
                <a:alpha val="40000"/>
              </a:prstClr>
            </a:outerShdw>
          </a:effectLst>
        </c:spPr>
        <c:txPr>
          <a:bodyPr rot="-60000000" spcFirstLastPara="1" vertOverflow="ellipsis" vert="horz" wrap="square" anchor="ctr" anchorCtr="1"/>
          <a:lstStyle/>
          <a:p>
            <a:pPr>
              <a:defRPr sz="1000" b="1" i="0" u="none" strike="noStrike" kern="1200" baseline="0">
                <a:solidFill>
                  <a:schemeClr val="lt1">
                    <a:lumMod val="85000"/>
                  </a:schemeClr>
                </a:solidFill>
                <a:effectLst>
                  <a:glow rad="63500">
                    <a:srgbClr val="00B050">
                      <a:alpha val="40000"/>
                    </a:srgbClr>
                  </a:glow>
                  <a:outerShdw blurRad="50800" dist="38100" dir="5400000" algn="t" rotWithShape="0">
                    <a:schemeClr val="bg1">
                      <a:alpha val="40000"/>
                    </a:schemeClr>
                  </a:outerShdw>
                </a:effectLst>
                <a:latin typeface="+mn-lt"/>
                <a:ea typeface="+mn-ea"/>
                <a:cs typeface="+mn-cs"/>
              </a:defRPr>
            </a:pPr>
            <a:endParaRPr lang="en-US"/>
          </a:p>
        </c:txPr>
        <c:crossAx val="1808192016"/>
        <c:crosses val="autoZero"/>
        <c:auto val="1"/>
        <c:lblAlgn val="ctr"/>
        <c:lblOffset val="100"/>
        <c:noMultiLvlLbl val="0"/>
      </c:catAx>
      <c:valAx>
        <c:axId val="1808192016"/>
        <c:scaling>
          <c:orientation val="minMax"/>
        </c:scaling>
        <c:delete val="0"/>
        <c:axPos val="l"/>
        <c:majorGridlines>
          <c:spPr>
            <a:ln w="9525" cap="flat" cmpd="sng" algn="ctr">
              <a:no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8208336"/>
        <c:crosses val="autoZero"/>
        <c:crossBetween val="between"/>
      </c:valAx>
      <c:spPr>
        <a:noFill/>
        <a:ln>
          <a:noFill/>
        </a:ln>
        <a:effectLst/>
      </c:spPr>
    </c:plotArea>
    <c:legend>
      <c:legendPos val="t"/>
      <c:layout>
        <c:manualLayout>
          <c:xMode val="edge"/>
          <c:yMode val="edge"/>
          <c:x val="0.24932968209840578"/>
          <c:y val="0.16194144838212635"/>
          <c:w val="0.39100377696690353"/>
          <c:h val="8.140433241792678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190500" dist="50800" dir="5400000" sx="95000" sy="95000" algn="ctr" rotWithShape="0">
        <a:schemeClr val="tx1">
          <a:alpha val="43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[retail_cleaned_ful_Dashboard.xlsx]Gender!PivotTable3</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Gender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00B0F0">
                <a:alpha val="71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7030A0"/>
          </a:solidFill>
          <a:ln>
            <a:noFill/>
          </a:ln>
          <a:effectLst>
            <a:outerShdw blurRad="57150" dist="19050" dir="5400000" algn="ctr" rotWithShape="0">
              <a:srgbClr val="000000">
                <a:alpha val="63000"/>
              </a:srgbClr>
            </a:outerShdw>
          </a:effectLst>
        </c:spPr>
        <c:dLbl>
          <c:idx val="0"/>
          <c:layout>
            <c:manualLayout>
              <c:x val="0.1213418986438257"/>
              <c:y val="-5.546311702717693E-3"/>
            </c:manualLayout>
          </c:layout>
          <c:spPr>
            <a:solidFill>
              <a:srgbClr val="00B0F0">
                <a:alpha val="71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lumMod val="60000"/>
              <a:lumOff val="40000"/>
            </a:schemeClr>
          </a:solidFill>
          <a:ln>
            <a:noFill/>
          </a:ln>
          <a:effectLst>
            <a:outerShdw blurRad="57150" dist="19050" dir="5400000" algn="ctr" rotWithShape="0">
              <a:srgbClr val="000000">
                <a:alpha val="63000"/>
              </a:srgbClr>
            </a:outerShdw>
          </a:effectLst>
        </c:spPr>
        <c:dLbl>
          <c:idx val="0"/>
          <c:layout>
            <c:manualLayout>
              <c:x val="-0.11063526052819418"/>
              <c:y val="-5.546311702717693E-3"/>
            </c:manualLayout>
          </c:layout>
          <c:spPr>
            <a:solidFill>
              <a:srgbClr val="00B0F0">
                <a:alpha val="71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00B0F0">
                <a:alpha val="71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7030A0"/>
          </a:solidFill>
          <a:ln>
            <a:noFill/>
          </a:ln>
          <a:effectLst>
            <a:outerShdw blurRad="57150" dist="19050" dir="5400000" algn="ctr" rotWithShape="0">
              <a:srgbClr val="000000">
                <a:alpha val="63000"/>
              </a:srgbClr>
            </a:outerShdw>
          </a:effectLst>
        </c:spPr>
        <c:dLbl>
          <c:idx val="0"/>
          <c:layout>
            <c:manualLayout>
              <c:x val="0.1213418986438257"/>
              <c:y val="-5.546311702717693E-3"/>
            </c:manualLayout>
          </c:layout>
          <c:spPr>
            <a:solidFill>
              <a:srgbClr val="00B0F0">
                <a:alpha val="71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2">
              <a:lumMod val="60000"/>
              <a:lumOff val="40000"/>
            </a:schemeClr>
          </a:solidFill>
          <a:ln>
            <a:noFill/>
          </a:ln>
          <a:effectLst>
            <a:outerShdw blurRad="57150" dist="19050" dir="5400000" algn="ctr" rotWithShape="0">
              <a:srgbClr val="000000">
                <a:alpha val="63000"/>
              </a:srgbClr>
            </a:outerShdw>
          </a:effectLst>
        </c:spPr>
        <c:dLbl>
          <c:idx val="0"/>
          <c:layout>
            <c:manualLayout>
              <c:x val="-0.11063526052819418"/>
              <c:y val="-5.546311702717693E-3"/>
            </c:manualLayout>
          </c:layout>
          <c:spPr>
            <a:solidFill>
              <a:srgbClr val="00B0F0">
                <a:alpha val="71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00B0F0">
                <a:alpha val="71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7030A0"/>
          </a:solidFill>
          <a:ln>
            <a:noFill/>
          </a:ln>
          <a:effectLst>
            <a:outerShdw blurRad="57150" dist="19050" dir="5400000" algn="ctr" rotWithShape="0">
              <a:srgbClr val="000000">
                <a:alpha val="63000"/>
              </a:srgbClr>
            </a:outerShdw>
          </a:effectLst>
        </c:spPr>
        <c:dLbl>
          <c:idx val="0"/>
          <c:layout>
            <c:manualLayout>
              <c:x val="0.16845617354367795"/>
              <c:y val="-7.8744591047740647E-2"/>
            </c:manualLayout>
          </c:layout>
          <c:spPr>
            <a:solidFill>
              <a:srgbClr val="00B0F0">
                <a:alpha val="71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2">
              <a:lumMod val="60000"/>
              <a:lumOff val="40000"/>
            </a:schemeClr>
          </a:solidFill>
          <a:ln>
            <a:noFill/>
          </a:ln>
          <a:effectLst>
            <a:outerShdw blurRad="57150" dist="19050" dir="5400000" algn="ctr" rotWithShape="0">
              <a:srgbClr val="000000">
                <a:alpha val="63000"/>
              </a:srgbClr>
            </a:outerShdw>
          </a:effectLst>
        </c:spPr>
        <c:dLbl>
          <c:idx val="0"/>
          <c:layout>
            <c:manualLayout>
              <c:x val="-0.15186045648887528"/>
              <c:y val="3.9498652195502588E-2"/>
            </c:manualLayout>
          </c:layout>
          <c:spPr>
            <a:solidFill>
              <a:srgbClr val="00B0F0">
                <a:alpha val="71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6493594241313895"/>
          <c:y val="0.39402185421006242"/>
          <c:w val="0.46462756511871661"/>
          <c:h val="0.52826323538825937"/>
        </c:manualLayout>
      </c:layout>
      <c:doughnutChart>
        <c:varyColors val="1"/>
        <c:ser>
          <c:idx val="0"/>
          <c:order val="0"/>
          <c:tx>
            <c:strRef>
              <c:f>Gender!$B$3</c:f>
              <c:strCache>
                <c:ptCount val="1"/>
                <c:pt idx="0">
                  <c:v>Total</c:v>
                </c:pt>
              </c:strCache>
            </c:strRef>
          </c:tx>
          <c:dPt>
            <c:idx val="0"/>
            <c:bubble3D val="0"/>
            <c:spPr>
              <a:solidFill>
                <a:srgbClr val="7030A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FCB-4E7D-9355-D3AAF37018A6}"/>
              </c:ext>
            </c:extLst>
          </c:dPt>
          <c:dPt>
            <c:idx val="1"/>
            <c:bubble3D val="0"/>
            <c:spPr>
              <a:solidFill>
                <a:schemeClr val="accent2">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FCB-4E7D-9355-D3AAF37018A6}"/>
              </c:ext>
            </c:extLst>
          </c:dPt>
          <c:dLbls>
            <c:dLbl>
              <c:idx val="0"/>
              <c:layout>
                <c:manualLayout>
                  <c:x val="0.16845617354367795"/>
                  <c:y val="-7.874459104774064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FCB-4E7D-9355-D3AAF37018A6}"/>
                </c:ext>
              </c:extLst>
            </c:dLbl>
            <c:dLbl>
              <c:idx val="1"/>
              <c:layout>
                <c:manualLayout>
                  <c:x val="-0.15186045648887528"/>
                  <c:y val="3.949865219550258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FCB-4E7D-9355-D3AAF37018A6}"/>
                </c:ext>
              </c:extLst>
            </c:dLbl>
            <c:spPr>
              <a:solidFill>
                <a:srgbClr val="00B0F0">
                  <a:alpha val="71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Gender!$A$4:$A$6</c:f>
              <c:strCache>
                <c:ptCount val="2"/>
                <c:pt idx="0">
                  <c:v>Female</c:v>
                </c:pt>
                <c:pt idx="1">
                  <c:v>Male</c:v>
                </c:pt>
              </c:strCache>
            </c:strRef>
          </c:cat>
          <c:val>
            <c:numRef>
              <c:f>Gender!$B$4:$B$6</c:f>
              <c:numCache>
                <c:formatCode>#,##0,"K"</c:formatCode>
                <c:ptCount val="2"/>
                <c:pt idx="0">
                  <c:v>465400</c:v>
                </c:pt>
                <c:pt idx="1">
                  <c:v>446320</c:v>
                </c:pt>
              </c:numCache>
            </c:numRef>
          </c:val>
          <c:extLst>
            <c:ext xmlns:c16="http://schemas.microsoft.com/office/drawing/2014/chart" uri="{C3380CC4-5D6E-409C-BE32-E72D297353CC}">
              <c16:uniqueId val="{00000004-7FCB-4E7D-9355-D3AAF37018A6}"/>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0.28553398646951311"/>
          <c:y val="0.26929330831769854"/>
          <c:w val="0.42893202706097383"/>
          <c:h val="0.105535447843878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[retail_cleaned_ful_Dashboard.xlsx]Age!PivotTable4</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Age Group</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7D1FA7"/>
          </a:solidFill>
          <a:ln>
            <a:solidFill>
              <a:srgbClr val="00B0F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D1FA7"/>
          </a:solidFill>
          <a:ln>
            <a:solidFill>
              <a:srgbClr val="00B0F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D1FA7"/>
          </a:solidFill>
          <a:ln>
            <a:solidFill>
              <a:srgbClr val="00B0F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Age!$B$3</c:f>
              <c:strCache>
                <c:ptCount val="1"/>
                <c:pt idx="0">
                  <c:v>Total</c:v>
                </c:pt>
              </c:strCache>
            </c:strRef>
          </c:tx>
          <c:spPr>
            <a:solidFill>
              <a:srgbClr val="7D1FA7"/>
            </a:solidFill>
            <a:ln>
              <a:solidFill>
                <a:srgbClr val="00B0F0"/>
              </a:solidFill>
            </a:ln>
            <a:effectLst/>
          </c:spPr>
          <c:invertIfNegative val="0"/>
          <c:cat>
            <c:strRef>
              <c:f>Age!$A$4:$A$52</c:f>
              <c:strCache>
                <c:ptCount val="48"/>
                <c:pt idx="0">
                  <c:v>0</c:v>
                </c:pt>
                <c:pt idx="1">
                  <c:v>18</c:v>
                </c:pt>
                <c:pt idx="2">
                  <c:v>19</c:v>
                </c:pt>
                <c:pt idx="3">
                  <c:v>20</c:v>
                </c:pt>
                <c:pt idx="4">
                  <c:v>21</c:v>
                </c:pt>
                <c:pt idx="5">
                  <c:v>22</c:v>
                </c:pt>
                <c:pt idx="6">
                  <c:v>23</c:v>
                </c:pt>
                <c:pt idx="7">
                  <c:v>24</c:v>
                </c:pt>
                <c:pt idx="8">
                  <c:v>25</c:v>
                </c:pt>
                <c:pt idx="9">
                  <c:v>26</c:v>
                </c:pt>
                <c:pt idx="10">
                  <c:v>27</c:v>
                </c:pt>
                <c:pt idx="11">
                  <c:v>28</c:v>
                </c:pt>
                <c:pt idx="12">
                  <c:v>29</c:v>
                </c:pt>
                <c:pt idx="13">
                  <c:v>30</c:v>
                </c:pt>
                <c:pt idx="14">
                  <c:v>31</c:v>
                </c:pt>
                <c:pt idx="15">
                  <c:v>32</c:v>
                </c:pt>
                <c:pt idx="16">
                  <c:v>33</c:v>
                </c:pt>
                <c:pt idx="17">
                  <c:v>34</c:v>
                </c:pt>
                <c:pt idx="18">
                  <c:v>35</c:v>
                </c:pt>
                <c:pt idx="19">
                  <c:v>36</c:v>
                </c:pt>
                <c:pt idx="20">
                  <c:v>37</c:v>
                </c:pt>
                <c:pt idx="21">
                  <c:v>38</c:v>
                </c:pt>
                <c:pt idx="22">
                  <c:v>39</c:v>
                </c:pt>
                <c:pt idx="23">
                  <c:v>40</c:v>
                </c:pt>
                <c:pt idx="24">
                  <c:v>41</c:v>
                </c:pt>
                <c:pt idx="25">
                  <c:v>42</c:v>
                </c:pt>
                <c:pt idx="26">
                  <c:v>43</c:v>
                </c:pt>
                <c:pt idx="27">
                  <c:v>44</c:v>
                </c:pt>
                <c:pt idx="28">
                  <c:v>45</c:v>
                </c:pt>
                <c:pt idx="29">
                  <c:v>46</c:v>
                </c:pt>
                <c:pt idx="30">
                  <c:v>47</c:v>
                </c:pt>
                <c:pt idx="31">
                  <c:v>48</c:v>
                </c:pt>
                <c:pt idx="32">
                  <c:v>49</c:v>
                </c:pt>
                <c:pt idx="33">
                  <c:v>50</c:v>
                </c:pt>
                <c:pt idx="34">
                  <c:v>51</c:v>
                </c:pt>
                <c:pt idx="35">
                  <c:v>52</c:v>
                </c:pt>
                <c:pt idx="36">
                  <c:v>53</c:v>
                </c:pt>
                <c:pt idx="37">
                  <c:v>54</c:v>
                </c:pt>
                <c:pt idx="38">
                  <c:v>55</c:v>
                </c:pt>
                <c:pt idx="39">
                  <c:v>56</c:v>
                </c:pt>
                <c:pt idx="40">
                  <c:v>57</c:v>
                </c:pt>
                <c:pt idx="41">
                  <c:v>58</c:v>
                </c:pt>
                <c:pt idx="42">
                  <c:v>59</c:v>
                </c:pt>
                <c:pt idx="43">
                  <c:v>60</c:v>
                </c:pt>
                <c:pt idx="44">
                  <c:v>61</c:v>
                </c:pt>
                <c:pt idx="45">
                  <c:v>62</c:v>
                </c:pt>
                <c:pt idx="46">
                  <c:v>63</c:v>
                </c:pt>
                <c:pt idx="47">
                  <c:v>64</c:v>
                </c:pt>
              </c:strCache>
            </c:strRef>
          </c:cat>
          <c:val>
            <c:numRef>
              <c:f>Age!$B$4:$B$52</c:f>
              <c:numCache>
                <c:formatCode>General</c:formatCode>
                <c:ptCount val="48"/>
                <c:pt idx="0">
                  <c:v>3490</c:v>
                </c:pt>
                <c:pt idx="1">
                  <c:v>22340</c:v>
                </c:pt>
                <c:pt idx="2">
                  <c:v>29690</c:v>
                </c:pt>
                <c:pt idx="3">
                  <c:v>17290</c:v>
                </c:pt>
                <c:pt idx="4">
                  <c:v>25170</c:v>
                </c:pt>
                <c:pt idx="5">
                  <c:v>27400</c:v>
                </c:pt>
                <c:pt idx="6">
                  <c:v>16440</c:v>
                </c:pt>
                <c:pt idx="7">
                  <c:v>10830</c:v>
                </c:pt>
                <c:pt idx="8">
                  <c:v>19800</c:v>
                </c:pt>
                <c:pt idx="9">
                  <c:v>27960</c:v>
                </c:pt>
                <c:pt idx="10">
                  <c:v>18770</c:v>
                </c:pt>
                <c:pt idx="11">
                  <c:v>17340</c:v>
                </c:pt>
                <c:pt idx="12">
                  <c:v>13140</c:v>
                </c:pt>
                <c:pt idx="13">
                  <c:v>19580</c:v>
                </c:pt>
                <c:pt idx="14">
                  <c:v>20440</c:v>
                </c:pt>
                <c:pt idx="15">
                  <c:v>11100</c:v>
                </c:pt>
                <c:pt idx="16">
                  <c:v>12390</c:v>
                </c:pt>
                <c:pt idx="17">
                  <c:v>33570</c:v>
                </c:pt>
                <c:pt idx="18">
                  <c:v>22580</c:v>
                </c:pt>
                <c:pt idx="19">
                  <c:v>18210</c:v>
                </c:pt>
                <c:pt idx="20">
                  <c:v>23300</c:v>
                </c:pt>
                <c:pt idx="21">
                  <c:v>22200</c:v>
                </c:pt>
                <c:pt idx="22">
                  <c:v>9190</c:v>
                </c:pt>
                <c:pt idx="23">
                  <c:v>18755</c:v>
                </c:pt>
                <c:pt idx="24">
                  <c:v>11300</c:v>
                </c:pt>
                <c:pt idx="25">
                  <c:v>17000</c:v>
                </c:pt>
                <c:pt idx="26">
                  <c:v>35940</c:v>
                </c:pt>
                <c:pt idx="27">
                  <c:v>15120</c:v>
                </c:pt>
                <c:pt idx="28">
                  <c:v>12650</c:v>
                </c:pt>
                <c:pt idx="29">
                  <c:v>26180</c:v>
                </c:pt>
                <c:pt idx="30">
                  <c:v>25010</c:v>
                </c:pt>
                <c:pt idx="31">
                  <c:v>14480</c:v>
                </c:pt>
                <c:pt idx="32">
                  <c:v>10220</c:v>
                </c:pt>
                <c:pt idx="33">
                  <c:v>19690</c:v>
                </c:pt>
                <c:pt idx="34">
                  <c:v>32055</c:v>
                </c:pt>
                <c:pt idx="35">
                  <c:v>14080</c:v>
                </c:pt>
                <c:pt idx="36">
                  <c:v>19020</c:v>
                </c:pt>
                <c:pt idx="37">
                  <c:v>20010</c:v>
                </c:pt>
                <c:pt idx="38">
                  <c:v>19560</c:v>
                </c:pt>
                <c:pt idx="39">
                  <c:v>18880</c:v>
                </c:pt>
                <c:pt idx="40">
                  <c:v>18430</c:v>
                </c:pt>
                <c:pt idx="41">
                  <c:v>14550</c:v>
                </c:pt>
                <c:pt idx="42">
                  <c:v>18940</c:v>
                </c:pt>
                <c:pt idx="43">
                  <c:v>21180</c:v>
                </c:pt>
                <c:pt idx="44">
                  <c:v>13460</c:v>
                </c:pt>
                <c:pt idx="45">
                  <c:v>16240</c:v>
                </c:pt>
                <c:pt idx="46">
                  <c:v>18500</c:v>
                </c:pt>
                <c:pt idx="47">
                  <c:v>18250</c:v>
                </c:pt>
              </c:numCache>
            </c:numRef>
          </c:val>
          <c:extLst>
            <c:ext xmlns:c16="http://schemas.microsoft.com/office/drawing/2014/chart" uri="{C3380CC4-5D6E-409C-BE32-E72D297353CC}">
              <c16:uniqueId val="{00000000-89BF-4257-8661-8AB1D33ACB95}"/>
            </c:ext>
          </c:extLst>
        </c:ser>
        <c:dLbls>
          <c:showLegendKey val="0"/>
          <c:showVal val="0"/>
          <c:showCatName val="0"/>
          <c:showSerName val="0"/>
          <c:showPercent val="0"/>
          <c:showBubbleSize val="0"/>
        </c:dLbls>
        <c:gapWidth val="115"/>
        <c:overlap val="-20"/>
        <c:axId val="617217151"/>
        <c:axId val="617215231"/>
      </c:barChart>
      <c:catAx>
        <c:axId val="61721715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7215231"/>
        <c:crosses val="autoZero"/>
        <c:auto val="1"/>
        <c:lblAlgn val="ctr"/>
        <c:lblOffset val="100"/>
        <c:noMultiLvlLbl val="0"/>
      </c:catAx>
      <c:valAx>
        <c:axId val="61721523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crossAx val="617217151"/>
        <c:crosses val="autoZero"/>
        <c:crossBetween val="between"/>
      </c:valAx>
      <c:spPr>
        <a:noFill/>
        <a:ln>
          <a:noFill/>
        </a:ln>
        <a:effectLst/>
      </c:spPr>
    </c:plotArea>
    <c:legend>
      <c:legendPos val="t"/>
      <c:layout>
        <c:manualLayout>
          <c:xMode val="edge"/>
          <c:yMode val="edge"/>
          <c:x val="0.45265551181102365"/>
          <c:y val="0.15986111111111112"/>
          <c:w val="0.17524453193350831"/>
          <c:h val="7.81255468066491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[retail_cleaned_ful_Dashboard.xlsx]Day!PivotTable5</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Profit By Day</a:t>
            </a:r>
            <a:endParaRPr lang="en-IN"/>
          </a:p>
        </c:rich>
      </c:tx>
      <c:layout>
        <c:manualLayout>
          <c:xMode val="edge"/>
          <c:yMode val="edge"/>
          <c:x val="0.28250704227860268"/>
          <c:y val="5.10313421839906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solidFill>
            <a:srgbClr val="00206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a:outerShdw blurRad="57150" dist="19050" dir="5400000" algn="ctr" rotWithShape="0">
              <a:srgbClr val="000000">
                <a:alpha val="63000"/>
              </a:srgbClr>
            </a:outerShdw>
          </a:effectLst>
        </c:spPr>
      </c:pivotFmt>
      <c:pivotFmt>
        <c:idx val="3"/>
        <c:spPr>
          <a:solidFill>
            <a:srgbClr val="00206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2">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Day!$B$3</c:f>
              <c:strCache>
                <c:ptCount val="1"/>
                <c:pt idx="0">
                  <c:v>Sum of profit</c:v>
                </c:pt>
              </c:strCache>
            </c:strRef>
          </c:tx>
          <c:spPr>
            <a:solidFill>
              <a:srgbClr val="002060"/>
            </a:solidFill>
            <a:ln>
              <a:noFill/>
            </a:ln>
            <a:effectLst>
              <a:outerShdw blurRad="57150" dist="19050" dir="5400000" algn="ctr" rotWithShape="0">
                <a:srgbClr val="000000">
                  <a:alpha val="63000"/>
                </a:srgbClr>
              </a:outerShdw>
            </a:effectLst>
          </c:spPr>
          <c:invertIfNegative val="0"/>
          <c:cat>
            <c:strRef>
              <c:f>Day!$A$4:$A$11</c:f>
              <c:strCache>
                <c:ptCount val="7"/>
                <c:pt idx="0">
                  <c:v>Sunday</c:v>
                </c:pt>
                <c:pt idx="1">
                  <c:v>Monday</c:v>
                </c:pt>
                <c:pt idx="2">
                  <c:v>Tuesday</c:v>
                </c:pt>
                <c:pt idx="3">
                  <c:v>Wednesday</c:v>
                </c:pt>
                <c:pt idx="4">
                  <c:v>Thursday</c:v>
                </c:pt>
                <c:pt idx="5">
                  <c:v>Friday</c:v>
                </c:pt>
                <c:pt idx="6">
                  <c:v>Saturday</c:v>
                </c:pt>
              </c:strCache>
            </c:strRef>
          </c:cat>
          <c:val>
            <c:numRef>
              <c:f>Day!$B$4:$B$11</c:f>
              <c:numCache>
                <c:formatCode>#,##0,"K"</c:formatCode>
                <c:ptCount val="7"/>
                <c:pt idx="0">
                  <c:v>121007.1</c:v>
                </c:pt>
                <c:pt idx="1">
                  <c:v>118174.79999999996</c:v>
                </c:pt>
                <c:pt idx="2">
                  <c:v>83141.450000000012</c:v>
                </c:pt>
                <c:pt idx="3">
                  <c:v>94948.249999999985</c:v>
                </c:pt>
                <c:pt idx="4">
                  <c:v>99708.450000000012</c:v>
                </c:pt>
                <c:pt idx="5">
                  <c:v>95685.900000000023</c:v>
                </c:pt>
                <c:pt idx="6">
                  <c:v>109291.34999999998</c:v>
                </c:pt>
              </c:numCache>
            </c:numRef>
          </c:val>
          <c:extLst>
            <c:ext xmlns:c16="http://schemas.microsoft.com/office/drawing/2014/chart" uri="{C3380CC4-5D6E-409C-BE32-E72D297353CC}">
              <c16:uniqueId val="{00000000-23BE-4D2A-8408-8AB08E4E7A55}"/>
            </c:ext>
          </c:extLst>
        </c:ser>
        <c:dLbls>
          <c:showLegendKey val="0"/>
          <c:showVal val="0"/>
          <c:showCatName val="0"/>
          <c:showSerName val="0"/>
          <c:showPercent val="0"/>
          <c:showBubbleSize val="0"/>
        </c:dLbls>
        <c:gapWidth val="219"/>
        <c:axId val="1552287311"/>
        <c:axId val="1552286351"/>
      </c:barChart>
      <c:lineChart>
        <c:grouping val="standard"/>
        <c:varyColors val="0"/>
        <c:ser>
          <c:idx val="1"/>
          <c:order val="1"/>
          <c:tx>
            <c:strRef>
              <c:f>Day!$C$3</c:f>
              <c:strCache>
                <c:ptCount val="1"/>
                <c:pt idx="0">
                  <c:v>Sum of total_sale</c:v>
                </c:pt>
              </c:strCache>
            </c:strRef>
          </c:tx>
          <c:spPr>
            <a:ln w="34925" cap="rnd">
              <a:solidFill>
                <a:schemeClr val="accent2">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Day!$A$4:$A$11</c:f>
              <c:strCache>
                <c:ptCount val="7"/>
                <c:pt idx="0">
                  <c:v>Sunday</c:v>
                </c:pt>
                <c:pt idx="1">
                  <c:v>Monday</c:v>
                </c:pt>
                <c:pt idx="2">
                  <c:v>Tuesday</c:v>
                </c:pt>
                <c:pt idx="3">
                  <c:v>Wednesday</c:v>
                </c:pt>
                <c:pt idx="4">
                  <c:v>Thursday</c:v>
                </c:pt>
                <c:pt idx="5">
                  <c:v>Friday</c:v>
                </c:pt>
                <c:pt idx="6">
                  <c:v>Saturday</c:v>
                </c:pt>
              </c:strCache>
            </c:strRef>
          </c:cat>
          <c:val>
            <c:numRef>
              <c:f>Day!$C$4:$C$11</c:f>
              <c:numCache>
                <c:formatCode>#,##0,"K"</c:formatCode>
                <c:ptCount val="7"/>
                <c:pt idx="0">
                  <c:v>153800</c:v>
                </c:pt>
                <c:pt idx="1">
                  <c:v>147695</c:v>
                </c:pt>
                <c:pt idx="2">
                  <c:v>103395</c:v>
                </c:pt>
                <c:pt idx="3">
                  <c:v>120615</c:v>
                </c:pt>
                <c:pt idx="4">
                  <c:v>124085</c:v>
                </c:pt>
                <c:pt idx="5">
                  <c:v>120730</c:v>
                </c:pt>
                <c:pt idx="6">
                  <c:v>141400</c:v>
                </c:pt>
              </c:numCache>
            </c:numRef>
          </c:val>
          <c:smooth val="0"/>
          <c:extLst>
            <c:ext xmlns:c16="http://schemas.microsoft.com/office/drawing/2014/chart" uri="{C3380CC4-5D6E-409C-BE32-E72D297353CC}">
              <c16:uniqueId val="{00000001-23BE-4D2A-8408-8AB08E4E7A55}"/>
            </c:ext>
          </c:extLst>
        </c:ser>
        <c:dLbls>
          <c:showLegendKey val="0"/>
          <c:showVal val="0"/>
          <c:showCatName val="0"/>
          <c:showSerName val="0"/>
          <c:showPercent val="0"/>
          <c:showBubbleSize val="0"/>
        </c:dLbls>
        <c:marker val="1"/>
        <c:smooth val="0"/>
        <c:axId val="425206607"/>
        <c:axId val="425204207"/>
      </c:lineChart>
      <c:catAx>
        <c:axId val="15522873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crossAx val="1552286351"/>
        <c:crosses val="autoZero"/>
        <c:auto val="1"/>
        <c:lblAlgn val="ctr"/>
        <c:lblOffset val="100"/>
        <c:noMultiLvlLbl val="0"/>
      </c:catAx>
      <c:valAx>
        <c:axId val="1552286351"/>
        <c:scaling>
          <c:orientation val="minMax"/>
        </c:scaling>
        <c:delete val="0"/>
        <c:axPos val="l"/>
        <c:majorGridlines>
          <c:spPr>
            <a:ln w="9525" cap="flat" cmpd="sng" algn="ctr">
              <a:solidFill>
                <a:schemeClr val="lt1">
                  <a:lumMod val="95000"/>
                  <a:alpha val="10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2287311"/>
        <c:crosses val="autoZero"/>
        <c:crossBetween val="between"/>
      </c:valAx>
      <c:valAx>
        <c:axId val="425204207"/>
        <c:scaling>
          <c:orientation val="minMax"/>
        </c:scaling>
        <c:delete val="0"/>
        <c:axPos val="r"/>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5206607"/>
        <c:crosses val="max"/>
        <c:crossBetween val="between"/>
      </c:valAx>
      <c:catAx>
        <c:axId val="425206607"/>
        <c:scaling>
          <c:orientation val="minMax"/>
        </c:scaling>
        <c:delete val="1"/>
        <c:axPos val="b"/>
        <c:numFmt formatCode="General" sourceLinked="1"/>
        <c:majorTickMark val="none"/>
        <c:minorTickMark val="none"/>
        <c:tickLblPos val="nextTo"/>
        <c:crossAx val="425204207"/>
        <c:crosses val="autoZero"/>
        <c:auto val="1"/>
        <c:lblAlgn val="ctr"/>
        <c:lblOffset val="100"/>
        <c:noMultiLvlLbl val="0"/>
      </c:catAx>
      <c:spPr>
        <a:noFill/>
        <a:ln>
          <a:noFill/>
        </a:ln>
        <a:effectLst/>
      </c:spPr>
    </c:plotArea>
    <c:legend>
      <c:legendPos val="r"/>
      <c:layout>
        <c:manualLayout>
          <c:xMode val="edge"/>
          <c:yMode val="edge"/>
          <c:x val="0.69702137960910227"/>
          <c:y val="0.38047559844493128"/>
          <c:w val="0.30297862039089773"/>
          <c:h val="0.169174116393345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[retail_cleaned_ful_Dashboard.xlsx]Quarter!PivotTable1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Revenue By Quarter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6"/>
          <c:y val="0.28703703703703703"/>
          <c:w val="0.65356649168853898"/>
          <c:h val="0.60556357538641004"/>
        </c:manualLayout>
      </c:layout>
      <c:barChart>
        <c:barDir val="col"/>
        <c:grouping val="clustered"/>
        <c:varyColors val="0"/>
        <c:ser>
          <c:idx val="0"/>
          <c:order val="0"/>
          <c:tx>
            <c:strRef>
              <c:f>Quarter!$B$3</c:f>
              <c:strCache>
                <c:ptCount val="1"/>
                <c:pt idx="0">
                  <c:v>Sum of total_sale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Quarter!$A$4:$A$8</c:f>
              <c:strCache>
                <c:ptCount val="4"/>
                <c:pt idx="0">
                  <c:v>Q1</c:v>
                </c:pt>
                <c:pt idx="1">
                  <c:v>Q2</c:v>
                </c:pt>
                <c:pt idx="2">
                  <c:v>Q3</c:v>
                </c:pt>
                <c:pt idx="3">
                  <c:v>Q4</c:v>
                </c:pt>
              </c:strCache>
            </c:strRef>
          </c:cat>
          <c:val>
            <c:numRef>
              <c:f>Quarter!$B$4:$B$8</c:f>
              <c:numCache>
                <c:formatCode>General</c:formatCode>
                <c:ptCount val="4"/>
                <c:pt idx="0">
                  <c:v>132740</c:v>
                </c:pt>
                <c:pt idx="1">
                  <c:v>147875</c:v>
                </c:pt>
                <c:pt idx="2">
                  <c:v>236915</c:v>
                </c:pt>
                <c:pt idx="3">
                  <c:v>394190</c:v>
                </c:pt>
              </c:numCache>
            </c:numRef>
          </c:val>
          <c:extLst>
            <c:ext xmlns:c16="http://schemas.microsoft.com/office/drawing/2014/chart" uri="{C3380CC4-5D6E-409C-BE32-E72D297353CC}">
              <c16:uniqueId val="{00000000-10DC-4346-BF52-E282831314CA}"/>
            </c:ext>
          </c:extLst>
        </c:ser>
        <c:ser>
          <c:idx val="1"/>
          <c:order val="1"/>
          <c:tx>
            <c:strRef>
              <c:f>Quarter!$C$3</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Quarter!$A$4:$A$8</c:f>
              <c:strCache>
                <c:ptCount val="4"/>
                <c:pt idx="0">
                  <c:v>Q1</c:v>
                </c:pt>
                <c:pt idx="1">
                  <c:v>Q2</c:v>
                </c:pt>
                <c:pt idx="2">
                  <c:v>Q3</c:v>
                </c:pt>
                <c:pt idx="3">
                  <c:v>Q4</c:v>
                </c:pt>
              </c:strCache>
            </c:strRef>
          </c:cat>
          <c:val>
            <c:numRef>
              <c:f>Quarter!$C$4:$C$8</c:f>
              <c:numCache>
                <c:formatCode>General</c:formatCode>
                <c:ptCount val="4"/>
                <c:pt idx="0">
                  <c:v>111719.9</c:v>
                </c:pt>
                <c:pt idx="1">
                  <c:v>123244.45</c:v>
                </c:pt>
                <c:pt idx="2">
                  <c:v>188692.10000000003</c:v>
                </c:pt>
                <c:pt idx="3">
                  <c:v>298300.84999999998</c:v>
                </c:pt>
              </c:numCache>
            </c:numRef>
          </c:val>
          <c:extLst>
            <c:ext xmlns:c16="http://schemas.microsoft.com/office/drawing/2014/chart" uri="{C3380CC4-5D6E-409C-BE32-E72D297353CC}">
              <c16:uniqueId val="{00000001-10DC-4346-BF52-E282831314CA}"/>
            </c:ext>
          </c:extLst>
        </c:ser>
        <c:dLbls>
          <c:showLegendKey val="0"/>
          <c:showVal val="0"/>
          <c:showCatName val="0"/>
          <c:showSerName val="0"/>
          <c:showPercent val="0"/>
          <c:showBubbleSize val="0"/>
        </c:dLbls>
        <c:gapWidth val="100"/>
        <c:overlap val="-24"/>
        <c:axId val="1772066447"/>
        <c:axId val="1772066927"/>
      </c:barChart>
      <c:catAx>
        <c:axId val="17720664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2066927"/>
        <c:crosses val="autoZero"/>
        <c:auto val="1"/>
        <c:lblAlgn val="ctr"/>
        <c:lblOffset val="100"/>
        <c:noMultiLvlLbl val="0"/>
      </c:catAx>
      <c:valAx>
        <c:axId val="177206692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206644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9.xml"/><Relationship Id="rId7" Type="http://schemas.openxmlformats.org/officeDocument/2006/relationships/image" Target="../media/image2.sv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1.png"/><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243840</xdr:colOff>
      <xdr:row>9</xdr:row>
      <xdr:rowOff>3810</xdr:rowOff>
    </xdr:from>
    <xdr:to>
      <xdr:col>11</xdr:col>
      <xdr:colOff>53340</xdr:colOff>
      <xdr:row>23</xdr:row>
      <xdr:rowOff>76200</xdr:rowOff>
    </xdr:to>
    <xdr:graphicFrame macro="">
      <xdr:nvGraphicFramePr>
        <xdr:cNvPr id="2" name="Chart 1">
          <a:extLst>
            <a:ext uri="{FF2B5EF4-FFF2-40B4-BE49-F238E27FC236}">
              <a16:creationId xmlns:a16="http://schemas.microsoft.com/office/drawing/2014/main" id="{5F4CBAC7-2583-0036-C83D-3357DE6220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419100</xdr:colOff>
      <xdr:row>17</xdr:row>
      <xdr:rowOff>60961</xdr:rowOff>
    </xdr:from>
    <xdr:to>
      <xdr:col>17</xdr:col>
      <xdr:colOff>419100</xdr:colOff>
      <xdr:row>21</xdr:row>
      <xdr:rowOff>175260</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3A75B084-01C2-BE79-9DE3-483B2EC213A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715500" y="3169921"/>
              <a:ext cx="1828800" cy="8458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464820</xdr:colOff>
      <xdr:row>10</xdr:row>
      <xdr:rowOff>114301</xdr:rowOff>
    </xdr:from>
    <xdr:to>
      <xdr:col>2</xdr:col>
      <xdr:colOff>358140</xdr:colOff>
      <xdr:row>16</xdr:row>
      <xdr:rowOff>175261</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7D196049-3533-521F-538D-8748A1B60C2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64820" y="1943101"/>
              <a:ext cx="1828800" cy="1158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266700</xdr:colOff>
      <xdr:row>6</xdr:row>
      <xdr:rowOff>45721</xdr:rowOff>
    </xdr:from>
    <xdr:to>
      <xdr:col>21</xdr:col>
      <xdr:colOff>266700</xdr:colOff>
      <xdr:row>10</xdr:row>
      <xdr:rowOff>175260</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974AB3C5-5E69-F8E3-BB6F-1C940E25AD3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001500" y="1143001"/>
              <a:ext cx="1828800" cy="8610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91440</xdr:colOff>
      <xdr:row>1</xdr:row>
      <xdr:rowOff>0</xdr:rowOff>
    </xdr:from>
    <xdr:to>
      <xdr:col>14</xdr:col>
      <xdr:colOff>91440</xdr:colOff>
      <xdr:row>19</xdr:row>
      <xdr:rowOff>167640</xdr:rowOff>
    </xdr:to>
    <mc:AlternateContent xmlns:mc="http://schemas.openxmlformats.org/markup-compatibility/2006" xmlns:a14="http://schemas.microsoft.com/office/drawing/2010/main">
      <mc:Choice Requires="a14">
        <xdr:graphicFrame macro="">
          <xdr:nvGraphicFramePr>
            <xdr:cNvPr id="6" name="month_name">
              <a:extLst>
                <a:ext uri="{FF2B5EF4-FFF2-40B4-BE49-F238E27FC236}">
                  <a16:creationId xmlns:a16="http://schemas.microsoft.com/office/drawing/2014/main" id="{DFBDA356-BE78-147D-D324-24B4364D4E15}"/>
                </a:ext>
              </a:extLst>
            </xdr:cNvPr>
            <xdr:cNvGraphicFramePr/>
          </xdr:nvGraphicFramePr>
          <xdr:xfrm>
            <a:off x="0" y="0"/>
            <a:ext cx="0" cy="0"/>
          </xdr:xfrm>
          <a:graphic>
            <a:graphicData uri="http://schemas.microsoft.com/office/drawing/2010/slicer">
              <sle:slicer xmlns:sle="http://schemas.microsoft.com/office/drawing/2010/slicer" name="month_name"/>
            </a:graphicData>
          </a:graphic>
        </xdr:graphicFrame>
      </mc:Choice>
      <mc:Fallback xmlns="">
        <xdr:sp macro="" textlink="">
          <xdr:nvSpPr>
            <xdr:cNvPr id="0" name=""/>
            <xdr:cNvSpPr>
              <a:spLocks noTextEdit="1"/>
            </xdr:cNvSpPr>
          </xdr:nvSpPr>
          <xdr:spPr>
            <a:xfrm>
              <a:off x="7559040" y="182880"/>
              <a:ext cx="1828800" cy="3459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281940</xdr:colOff>
      <xdr:row>18</xdr:row>
      <xdr:rowOff>114300</xdr:rowOff>
    </xdr:from>
    <xdr:to>
      <xdr:col>14</xdr:col>
      <xdr:colOff>281940</xdr:colOff>
      <xdr:row>32</xdr:row>
      <xdr:rowOff>20955</xdr:rowOff>
    </xdr:to>
    <mc:AlternateContent xmlns:mc="http://schemas.openxmlformats.org/markup-compatibility/2006" xmlns:a14="http://schemas.microsoft.com/office/drawing/2010/main">
      <mc:Choice Requires="a14">
        <xdr:graphicFrame macro="">
          <xdr:nvGraphicFramePr>
            <xdr:cNvPr id="9" name="Quarter_Label 1">
              <a:extLst>
                <a:ext uri="{FF2B5EF4-FFF2-40B4-BE49-F238E27FC236}">
                  <a16:creationId xmlns:a16="http://schemas.microsoft.com/office/drawing/2014/main" id="{51DD7F6E-1AD1-CB67-7558-39BC5C155A3D}"/>
                </a:ext>
              </a:extLst>
            </xdr:cNvPr>
            <xdr:cNvGraphicFramePr/>
          </xdr:nvGraphicFramePr>
          <xdr:xfrm>
            <a:off x="0" y="0"/>
            <a:ext cx="0" cy="0"/>
          </xdr:xfrm>
          <a:graphic>
            <a:graphicData uri="http://schemas.microsoft.com/office/drawing/2010/slicer">
              <sle:slicer xmlns:sle="http://schemas.microsoft.com/office/drawing/2010/slicer" name="Quarter_Label 1"/>
            </a:graphicData>
          </a:graphic>
        </xdr:graphicFrame>
      </mc:Choice>
      <mc:Fallback xmlns="">
        <xdr:sp macro="" textlink="">
          <xdr:nvSpPr>
            <xdr:cNvPr id="0" name=""/>
            <xdr:cNvSpPr>
              <a:spLocks noTextEdit="1"/>
            </xdr:cNvSpPr>
          </xdr:nvSpPr>
          <xdr:spPr>
            <a:xfrm>
              <a:off x="7924800" y="34061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495300</xdr:colOff>
      <xdr:row>6</xdr:row>
      <xdr:rowOff>87630</xdr:rowOff>
    </xdr:from>
    <xdr:to>
      <xdr:col>13</xdr:col>
      <xdr:colOff>38100</xdr:colOff>
      <xdr:row>21</xdr:row>
      <xdr:rowOff>179070</xdr:rowOff>
    </xdr:to>
    <xdr:graphicFrame macro="">
      <xdr:nvGraphicFramePr>
        <xdr:cNvPr id="2" name="Chart 1">
          <a:extLst>
            <a:ext uri="{FF2B5EF4-FFF2-40B4-BE49-F238E27FC236}">
              <a16:creationId xmlns:a16="http://schemas.microsoft.com/office/drawing/2014/main" id="{2155246A-5088-F9C1-71F3-C815E879AA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563880</xdr:colOff>
      <xdr:row>11</xdr:row>
      <xdr:rowOff>15240</xdr:rowOff>
    </xdr:from>
    <xdr:to>
      <xdr:col>8</xdr:col>
      <xdr:colOff>434340</xdr:colOff>
      <xdr:row>22</xdr:row>
      <xdr:rowOff>34290</xdr:rowOff>
    </xdr:to>
    <xdr:graphicFrame macro="">
      <xdr:nvGraphicFramePr>
        <xdr:cNvPr id="2" name="Chart 1">
          <a:extLst>
            <a:ext uri="{FF2B5EF4-FFF2-40B4-BE49-F238E27FC236}">
              <a16:creationId xmlns:a16="http://schemas.microsoft.com/office/drawing/2014/main" id="{91BF07A0-5DDB-37B3-3201-815E88FA13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586740</xdr:colOff>
      <xdr:row>10</xdr:row>
      <xdr:rowOff>41910</xdr:rowOff>
    </xdr:from>
    <xdr:to>
      <xdr:col>11</xdr:col>
      <xdr:colOff>281940</xdr:colOff>
      <xdr:row>25</xdr:row>
      <xdr:rowOff>41910</xdr:rowOff>
    </xdr:to>
    <xdr:graphicFrame macro="">
      <xdr:nvGraphicFramePr>
        <xdr:cNvPr id="2" name="Chart 1">
          <a:extLst>
            <a:ext uri="{FF2B5EF4-FFF2-40B4-BE49-F238E27FC236}">
              <a16:creationId xmlns:a16="http://schemas.microsoft.com/office/drawing/2014/main" id="{EFACB849-68CC-C61A-3672-7DD6A2F733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449580</xdr:colOff>
      <xdr:row>5</xdr:row>
      <xdr:rowOff>57150</xdr:rowOff>
    </xdr:from>
    <xdr:to>
      <xdr:col>10</xdr:col>
      <xdr:colOff>106680</xdr:colOff>
      <xdr:row>19</xdr:row>
      <xdr:rowOff>30480</xdr:rowOff>
    </xdr:to>
    <xdr:graphicFrame macro="">
      <xdr:nvGraphicFramePr>
        <xdr:cNvPr id="2" name="Chart 1">
          <a:extLst>
            <a:ext uri="{FF2B5EF4-FFF2-40B4-BE49-F238E27FC236}">
              <a16:creationId xmlns:a16="http://schemas.microsoft.com/office/drawing/2014/main" id="{CFA62268-819A-E8CE-2198-AF22F19B74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358140</xdr:colOff>
      <xdr:row>8</xdr:row>
      <xdr:rowOff>133350</xdr:rowOff>
    </xdr:from>
    <xdr:to>
      <xdr:col>11</xdr:col>
      <xdr:colOff>53340</xdr:colOff>
      <xdr:row>23</xdr:row>
      <xdr:rowOff>133350</xdr:rowOff>
    </xdr:to>
    <xdr:graphicFrame macro="">
      <xdr:nvGraphicFramePr>
        <xdr:cNvPr id="2" name="Chart 1">
          <a:extLst>
            <a:ext uri="{FF2B5EF4-FFF2-40B4-BE49-F238E27FC236}">
              <a16:creationId xmlns:a16="http://schemas.microsoft.com/office/drawing/2014/main" id="{273290FF-2A0B-76AC-94B9-45C33ECD33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160020</xdr:colOff>
      <xdr:row>4</xdr:row>
      <xdr:rowOff>175261</xdr:rowOff>
    </xdr:from>
    <xdr:to>
      <xdr:col>17</xdr:col>
      <xdr:colOff>160020</xdr:colOff>
      <xdr:row>12</xdr:row>
      <xdr:rowOff>99061</xdr:rowOff>
    </xdr:to>
    <mc:AlternateContent xmlns:mc="http://schemas.openxmlformats.org/markup-compatibility/2006" xmlns:a14="http://schemas.microsoft.com/office/drawing/2010/main">
      <mc:Choice Requires="a14">
        <xdr:graphicFrame macro="">
          <xdr:nvGraphicFramePr>
            <xdr:cNvPr id="3" name="Quarter_Label">
              <a:extLst>
                <a:ext uri="{FF2B5EF4-FFF2-40B4-BE49-F238E27FC236}">
                  <a16:creationId xmlns:a16="http://schemas.microsoft.com/office/drawing/2014/main" id="{5BFAAB36-5E8D-01E4-FDAB-057298D280D6}"/>
                </a:ext>
              </a:extLst>
            </xdr:cNvPr>
            <xdr:cNvGraphicFramePr/>
          </xdr:nvGraphicFramePr>
          <xdr:xfrm>
            <a:off x="0" y="0"/>
            <a:ext cx="0" cy="0"/>
          </xdr:xfrm>
          <a:graphic>
            <a:graphicData uri="http://schemas.microsoft.com/office/drawing/2010/slicer">
              <sle:slicer xmlns:sle="http://schemas.microsoft.com/office/drawing/2010/slicer" name="Quarter_Label"/>
            </a:graphicData>
          </a:graphic>
        </xdr:graphicFrame>
      </mc:Choice>
      <mc:Fallback xmlns="">
        <xdr:sp macro="" textlink="">
          <xdr:nvSpPr>
            <xdr:cNvPr id="0" name=""/>
            <xdr:cNvSpPr>
              <a:spLocks noTextEdit="1"/>
            </xdr:cNvSpPr>
          </xdr:nvSpPr>
          <xdr:spPr>
            <a:xfrm>
              <a:off x="9631680" y="906781"/>
              <a:ext cx="1828800" cy="1386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45720</xdr:colOff>
      <xdr:row>0</xdr:row>
      <xdr:rowOff>22860</xdr:rowOff>
    </xdr:from>
    <xdr:to>
      <xdr:col>24</xdr:col>
      <xdr:colOff>464820</xdr:colOff>
      <xdr:row>2</xdr:row>
      <xdr:rowOff>45720</xdr:rowOff>
    </xdr:to>
    <xdr:sp macro="" textlink="">
      <xdr:nvSpPr>
        <xdr:cNvPr id="3" name="Rectangle 2">
          <a:extLst>
            <a:ext uri="{FF2B5EF4-FFF2-40B4-BE49-F238E27FC236}">
              <a16:creationId xmlns:a16="http://schemas.microsoft.com/office/drawing/2014/main" id="{54E1177A-FF29-8BCB-0F9F-A2CE064AF892}"/>
            </a:ext>
          </a:extLst>
        </xdr:cNvPr>
        <xdr:cNvSpPr/>
      </xdr:nvSpPr>
      <xdr:spPr>
        <a:xfrm>
          <a:off x="45720" y="22860"/>
          <a:ext cx="15049500" cy="388620"/>
        </a:xfrm>
        <a:prstGeom prst="rect">
          <a:avLst/>
        </a:prstGeom>
        <a:solidFill>
          <a:srgbClr val="2C333D"/>
        </a:solidFill>
        <a:ln>
          <a:solidFill>
            <a:srgbClr val="1E222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chemeClr val="bg1"/>
              </a:solidFill>
              <a:latin typeface="Times New Roman" panose="02020603050405020304" pitchFamily="18" charset="0"/>
              <a:ea typeface="+mn-ea"/>
              <a:cs typeface="Times New Roman" panose="02020603050405020304" pitchFamily="18" charset="0"/>
            </a:rPr>
            <a:t>RETAIL_SALES ANALYSIS</a:t>
          </a:r>
        </a:p>
        <a:p>
          <a:pPr marL="0" indent="0" algn="ctr"/>
          <a:r>
            <a:rPr lang="en-IN" sz="1400" b="1">
              <a:solidFill>
                <a:schemeClr val="bg1"/>
              </a:solidFill>
              <a:latin typeface="Times New Roman" panose="02020603050405020304" pitchFamily="18" charset="0"/>
              <a:ea typeface="+mn-ea"/>
              <a:cs typeface="Times New Roman" panose="02020603050405020304" pitchFamily="18" charset="0"/>
            </a:rPr>
            <a:t> </a:t>
          </a:r>
        </a:p>
      </xdr:txBody>
    </xdr:sp>
    <xdr:clientData/>
  </xdr:twoCellAnchor>
  <xdr:twoCellAnchor>
    <xdr:from>
      <xdr:col>0</xdr:col>
      <xdr:colOff>22860</xdr:colOff>
      <xdr:row>2</xdr:row>
      <xdr:rowOff>99060</xdr:rowOff>
    </xdr:from>
    <xdr:to>
      <xdr:col>2</xdr:col>
      <xdr:colOff>571500</xdr:colOff>
      <xdr:row>7</xdr:row>
      <xdr:rowOff>0</xdr:rowOff>
    </xdr:to>
    <xdr:sp macro="" textlink="">
      <xdr:nvSpPr>
        <xdr:cNvPr id="6" name="Rectangle: Rounded Corners 5">
          <a:extLst>
            <a:ext uri="{FF2B5EF4-FFF2-40B4-BE49-F238E27FC236}">
              <a16:creationId xmlns:a16="http://schemas.microsoft.com/office/drawing/2014/main" id="{C055AE24-B9DA-C109-FCC7-EB7F4964C2AB}"/>
            </a:ext>
          </a:extLst>
        </xdr:cNvPr>
        <xdr:cNvSpPr/>
      </xdr:nvSpPr>
      <xdr:spPr>
        <a:xfrm>
          <a:off x="22860" y="457648"/>
          <a:ext cx="1773816" cy="797411"/>
        </a:xfrm>
        <a:prstGeom prst="roundRect">
          <a:avLst/>
        </a:prstGeom>
        <a:solidFill>
          <a:srgbClr val="2C333D"/>
        </a:solidFill>
        <a:ln>
          <a:solidFill>
            <a:srgbClr val="1E222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18133</xdr:colOff>
      <xdr:row>2</xdr:row>
      <xdr:rowOff>99060</xdr:rowOff>
    </xdr:from>
    <xdr:to>
      <xdr:col>5</xdr:col>
      <xdr:colOff>566773</xdr:colOff>
      <xdr:row>7</xdr:row>
      <xdr:rowOff>0</xdr:rowOff>
    </xdr:to>
    <xdr:sp macro="" textlink="">
      <xdr:nvSpPr>
        <xdr:cNvPr id="7" name="Rectangle: Rounded Corners 6">
          <a:extLst>
            <a:ext uri="{FF2B5EF4-FFF2-40B4-BE49-F238E27FC236}">
              <a16:creationId xmlns:a16="http://schemas.microsoft.com/office/drawing/2014/main" id="{8C29B59E-0EDC-4AB0-9C43-D67879BD4D76}"/>
            </a:ext>
          </a:extLst>
        </xdr:cNvPr>
        <xdr:cNvSpPr/>
      </xdr:nvSpPr>
      <xdr:spPr>
        <a:xfrm>
          <a:off x="1841146" y="465592"/>
          <a:ext cx="1763981" cy="817269"/>
        </a:xfrm>
        <a:prstGeom prst="roundRect">
          <a:avLst/>
        </a:prstGeom>
        <a:solidFill>
          <a:srgbClr val="2C333D"/>
        </a:solidFill>
        <a:ln>
          <a:solidFill>
            <a:srgbClr val="1E222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6</xdr:col>
      <xdr:colOff>13406</xdr:colOff>
      <xdr:row>2</xdr:row>
      <xdr:rowOff>99060</xdr:rowOff>
    </xdr:from>
    <xdr:to>
      <xdr:col>8</xdr:col>
      <xdr:colOff>562046</xdr:colOff>
      <xdr:row>7</xdr:row>
      <xdr:rowOff>0</xdr:rowOff>
    </xdr:to>
    <xdr:sp macro="" textlink="">
      <xdr:nvSpPr>
        <xdr:cNvPr id="8" name="Rectangle: Rounded Corners 7">
          <a:extLst>
            <a:ext uri="{FF2B5EF4-FFF2-40B4-BE49-F238E27FC236}">
              <a16:creationId xmlns:a16="http://schemas.microsoft.com/office/drawing/2014/main" id="{8E5FA2FC-5586-43F6-AE99-B176624BCA3A}"/>
            </a:ext>
          </a:extLst>
        </xdr:cNvPr>
        <xdr:cNvSpPr/>
      </xdr:nvSpPr>
      <xdr:spPr>
        <a:xfrm>
          <a:off x="3659431" y="465592"/>
          <a:ext cx="1763982" cy="817269"/>
        </a:xfrm>
        <a:prstGeom prst="roundRect">
          <a:avLst/>
        </a:prstGeom>
        <a:solidFill>
          <a:srgbClr val="2C333D"/>
        </a:solidFill>
        <a:ln>
          <a:solidFill>
            <a:srgbClr val="1E222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IN" sz="1400" b="1">
            <a:solidFill>
              <a:schemeClr val="bg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9</xdr:col>
      <xdr:colOff>8679</xdr:colOff>
      <xdr:row>2</xdr:row>
      <xdr:rowOff>99060</xdr:rowOff>
    </xdr:from>
    <xdr:to>
      <xdr:col>11</xdr:col>
      <xdr:colOff>552402</xdr:colOff>
      <xdr:row>7</xdr:row>
      <xdr:rowOff>0</xdr:rowOff>
    </xdr:to>
    <xdr:sp macro="" textlink="">
      <xdr:nvSpPr>
        <xdr:cNvPr id="10" name="Rectangle: Rounded Corners 9">
          <a:extLst>
            <a:ext uri="{FF2B5EF4-FFF2-40B4-BE49-F238E27FC236}">
              <a16:creationId xmlns:a16="http://schemas.microsoft.com/office/drawing/2014/main" id="{976C3C62-3F8E-4E2B-8AC2-34A2CB46A90C}"/>
            </a:ext>
          </a:extLst>
        </xdr:cNvPr>
        <xdr:cNvSpPr/>
      </xdr:nvSpPr>
      <xdr:spPr>
        <a:xfrm>
          <a:off x="5477717" y="465592"/>
          <a:ext cx="1759065" cy="817269"/>
        </a:xfrm>
        <a:prstGeom prst="roundRect">
          <a:avLst/>
        </a:prstGeom>
        <a:solidFill>
          <a:srgbClr val="2C333D"/>
        </a:solidFill>
        <a:ln>
          <a:solidFill>
            <a:srgbClr val="1E222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IN" sz="1400" b="1">
            <a:solidFill>
              <a:schemeClr val="bg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11</xdr:col>
      <xdr:colOff>606706</xdr:colOff>
      <xdr:row>2</xdr:row>
      <xdr:rowOff>99060</xdr:rowOff>
    </xdr:from>
    <xdr:to>
      <xdr:col>14</xdr:col>
      <xdr:colOff>545746</xdr:colOff>
      <xdr:row>7</xdr:row>
      <xdr:rowOff>0</xdr:rowOff>
    </xdr:to>
    <xdr:sp macro="" textlink="">
      <xdr:nvSpPr>
        <xdr:cNvPr id="11" name="Rectangle: Rounded Corners 10">
          <a:extLst>
            <a:ext uri="{FF2B5EF4-FFF2-40B4-BE49-F238E27FC236}">
              <a16:creationId xmlns:a16="http://schemas.microsoft.com/office/drawing/2014/main" id="{D4403BB5-DCAE-4F87-BA44-976EECB2EA9A}"/>
            </a:ext>
          </a:extLst>
        </xdr:cNvPr>
        <xdr:cNvSpPr/>
      </xdr:nvSpPr>
      <xdr:spPr>
        <a:xfrm>
          <a:off x="7291086" y="465592"/>
          <a:ext cx="1762052" cy="817269"/>
        </a:xfrm>
        <a:prstGeom prst="roundRect">
          <a:avLst/>
        </a:prstGeom>
        <a:solidFill>
          <a:srgbClr val="2C333D"/>
        </a:solidFill>
        <a:ln>
          <a:solidFill>
            <a:srgbClr val="1E222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IN" sz="1400" b="1">
            <a:solidFill>
              <a:schemeClr val="bg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14</xdr:col>
      <xdr:colOff>600050</xdr:colOff>
      <xdr:row>2</xdr:row>
      <xdr:rowOff>99060</xdr:rowOff>
    </xdr:from>
    <xdr:to>
      <xdr:col>17</xdr:col>
      <xdr:colOff>539090</xdr:colOff>
      <xdr:row>7</xdr:row>
      <xdr:rowOff>0</xdr:rowOff>
    </xdr:to>
    <xdr:sp macro="" textlink="">
      <xdr:nvSpPr>
        <xdr:cNvPr id="12" name="Rectangle: Rounded Corners 11">
          <a:extLst>
            <a:ext uri="{FF2B5EF4-FFF2-40B4-BE49-F238E27FC236}">
              <a16:creationId xmlns:a16="http://schemas.microsoft.com/office/drawing/2014/main" id="{3FD38A99-EE70-4ACD-91F5-CDC049BF91D1}"/>
            </a:ext>
          </a:extLst>
        </xdr:cNvPr>
        <xdr:cNvSpPr/>
      </xdr:nvSpPr>
      <xdr:spPr>
        <a:xfrm>
          <a:off x="9107442" y="465592"/>
          <a:ext cx="1762053" cy="817269"/>
        </a:xfrm>
        <a:prstGeom prst="roundRect">
          <a:avLst/>
        </a:prstGeom>
        <a:solidFill>
          <a:srgbClr val="2C333D"/>
        </a:solidFill>
        <a:ln>
          <a:solidFill>
            <a:srgbClr val="1E222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IN" sz="1400" b="1">
            <a:solidFill>
              <a:schemeClr val="bg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17</xdr:col>
      <xdr:colOff>593394</xdr:colOff>
      <xdr:row>2</xdr:row>
      <xdr:rowOff>99060</xdr:rowOff>
    </xdr:from>
    <xdr:to>
      <xdr:col>20</xdr:col>
      <xdr:colOff>532434</xdr:colOff>
      <xdr:row>7</xdr:row>
      <xdr:rowOff>0</xdr:rowOff>
    </xdr:to>
    <xdr:sp macro="" textlink="">
      <xdr:nvSpPr>
        <xdr:cNvPr id="13" name="Rectangle: Rounded Corners 12">
          <a:extLst>
            <a:ext uri="{FF2B5EF4-FFF2-40B4-BE49-F238E27FC236}">
              <a16:creationId xmlns:a16="http://schemas.microsoft.com/office/drawing/2014/main" id="{90950A9B-AAE4-4841-8EEE-DE20C33C51F9}"/>
            </a:ext>
          </a:extLst>
        </xdr:cNvPr>
        <xdr:cNvSpPr/>
      </xdr:nvSpPr>
      <xdr:spPr>
        <a:xfrm>
          <a:off x="10923799" y="465592"/>
          <a:ext cx="1762053" cy="817269"/>
        </a:xfrm>
        <a:prstGeom prst="roundRect">
          <a:avLst/>
        </a:prstGeom>
        <a:solidFill>
          <a:srgbClr val="2C333D"/>
        </a:solidFill>
        <a:ln>
          <a:solidFill>
            <a:srgbClr val="1E222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IN" sz="1400" b="1">
            <a:solidFill>
              <a:schemeClr val="bg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0</xdr:col>
      <xdr:colOff>91440</xdr:colOff>
      <xdr:row>3</xdr:row>
      <xdr:rowOff>38100</xdr:rowOff>
    </xdr:from>
    <xdr:to>
      <xdr:col>2</xdr:col>
      <xdr:colOff>525780</xdr:colOff>
      <xdr:row>4</xdr:row>
      <xdr:rowOff>152400</xdr:rowOff>
    </xdr:to>
    <xdr:sp macro="" textlink="">
      <xdr:nvSpPr>
        <xdr:cNvPr id="14" name="Rectangle 13">
          <a:extLst>
            <a:ext uri="{FF2B5EF4-FFF2-40B4-BE49-F238E27FC236}">
              <a16:creationId xmlns:a16="http://schemas.microsoft.com/office/drawing/2014/main" id="{2E7CEBEA-A5B6-B4A0-C8CC-41728C4F9EF7}"/>
            </a:ext>
          </a:extLst>
        </xdr:cNvPr>
        <xdr:cNvSpPr/>
      </xdr:nvSpPr>
      <xdr:spPr>
        <a:xfrm>
          <a:off x="91440" y="586740"/>
          <a:ext cx="1653540" cy="297180"/>
        </a:xfrm>
        <a:prstGeom prst="rect">
          <a:avLst/>
        </a:prstGeom>
        <a:solidFill>
          <a:srgbClr val="2C33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bg1"/>
              </a:solidFill>
              <a:latin typeface="Times New Roman" panose="02020603050405020304" pitchFamily="18" charset="0"/>
              <a:cs typeface="Times New Roman" panose="02020603050405020304" pitchFamily="18" charset="0"/>
            </a:rPr>
            <a:t>Total Revenue</a:t>
          </a:r>
        </a:p>
      </xdr:txBody>
    </xdr:sp>
    <xdr:clientData/>
  </xdr:twoCellAnchor>
  <xdr:twoCellAnchor>
    <xdr:from>
      <xdr:col>0</xdr:col>
      <xdr:colOff>76200</xdr:colOff>
      <xdr:row>5</xdr:row>
      <xdr:rowOff>0</xdr:rowOff>
    </xdr:from>
    <xdr:to>
      <xdr:col>2</xdr:col>
      <xdr:colOff>518160</xdr:colOff>
      <xdr:row>6</xdr:row>
      <xdr:rowOff>99060</xdr:rowOff>
    </xdr:to>
    <xdr:sp macro="" textlink="">
      <xdr:nvSpPr>
        <xdr:cNvPr id="15" name="Rectangle 14">
          <a:extLst>
            <a:ext uri="{FF2B5EF4-FFF2-40B4-BE49-F238E27FC236}">
              <a16:creationId xmlns:a16="http://schemas.microsoft.com/office/drawing/2014/main" id="{BEACE021-9467-A325-9482-1F48D797252E}"/>
            </a:ext>
          </a:extLst>
        </xdr:cNvPr>
        <xdr:cNvSpPr/>
      </xdr:nvSpPr>
      <xdr:spPr>
        <a:xfrm>
          <a:off x="76200" y="914400"/>
          <a:ext cx="1661160" cy="281940"/>
        </a:xfrm>
        <a:prstGeom prst="rect">
          <a:avLst/>
        </a:prstGeom>
        <a:solidFill>
          <a:srgbClr val="2C33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i="0" u="none" strike="noStrike">
              <a:solidFill>
                <a:schemeClr val="lt1"/>
              </a:solidFill>
              <a:effectLst/>
              <a:latin typeface="+mn-lt"/>
              <a:ea typeface="+mn-ea"/>
              <a:cs typeface="+mn-cs"/>
            </a:rPr>
            <a:t>₹ 9,11,720.00</a:t>
          </a:r>
          <a:r>
            <a:rPr lang="en-IN" sz="1400" b="1">
              <a:effectLst/>
            </a:rPr>
            <a:t> </a:t>
          </a:r>
          <a:endParaRPr lang="en-IN" sz="1400" b="1"/>
        </a:p>
      </xdr:txBody>
    </xdr:sp>
    <xdr:clientData/>
  </xdr:twoCellAnchor>
  <xdr:twoCellAnchor>
    <xdr:from>
      <xdr:col>3</xdr:col>
      <xdr:colOff>192911</xdr:colOff>
      <xdr:row>3</xdr:row>
      <xdr:rowOff>45720</xdr:rowOff>
    </xdr:from>
    <xdr:to>
      <xdr:col>5</xdr:col>
      <xdr:colOff>358140</xdr:colOff>
      <xdr:row>4</xdr:row>
      <xdr:rowOff>106102</xdr:rowOff>
    </xdr:to>
    <xdr:sp macro="" textlink="">
      <xdr:nvSpPr>
        <xdr:cNvPr id="19" name="Rectangle 18">
          <a:extLst>
            <a:ext uri="{FF2B5EF4-FFF2-40B4-BE49-F238E27FC236}">
              <a16:creationId xmlns:a16="http://schemas.microsoft.com/office/drawing/2014/main" id="{A3A9556F-46AB-0EDA-B8C9-885B92E5D26D}"/>
            </a:ext>
          </a:extLst>
        </xdr:cNvPr>
        <xdr:cNvSpPr/>
      </xdr:nvSpPr>
      <xdr:spPr>
        <a:xfrm>
          <a:off x="2015924" y="595517"/>
          <a:ext cx="1380570" cy="243648"/>
        </a:xfrm>
        <a:prstGeom prst="rect">
          <a:avLst/>
        </a:prstGeom>
        <a:solidFill>
          <a:srgbClr val="2C33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a:solidFill>
                <a:schemeClr val="bg1"/>
              </a:solidFill>
              <a:latin typeface="Times New Roman" panose="02020603050405020304" pitchFamily="18" charset="0"/>
              <a:ea typeface="+mn-ea"/>
              <a:cs typeface="Times New Roman" panose="02020603050405020304" pitchFamily="18" charset="0"/>
            </a:rPr>
            <a:t>Profit Margin</a:t>
          </a:r>
        </a:p>
      </xdr:txBody>
    </xdr:sp>
    <xdr:clientData/>
  </xdr:twoCellAnchor>
  <xdr:twoCellAnchor>
    <xdr:from>
      <xdr:col>3</xdr:col>
      <xdr:colOff>121920</xdr:colOff>
      <xdr:row>5</xdr:row>
      <xdr:rowOff>22860</xdr:rowOff>
    </xdr:from>
    <xdr:to>
      <xdr:col>5</xdr:col>
      <xdr:colOff>213360</xdr:colOff>
      <xdr:row>6</xdr:row>
      <xdr:rowOff>114300</xdr:rowOff>
    </xdr:to>
    <xdr:sp macro="" textlink="">
      <xdr:nvSpPr>
        <xdr:cNvPr id="20" name="Rectangle 19">
          <a:extLst>
            <a:ext uri="{FF2B5EF4-FFF2-40B4-BE49-F238E27FC236}">
              <a16:creationId xmlns:a16="http://schemas.microsoft.com/office/drawing/2014/main" id="{1914701D-8C35-3FF8-AB23-A5E3ACE74C7C}"/>
            </a:ext>
          </a:extLst>
        </xdr:cNvPr>
        <xdr:cNvSpPr/>
      </xdr:nvSpPr>
      <xdr:spPr>
        <a:xfrm>
          <a:off x="1950720" y="937260"/>
          <a:ext cx="1310640" cy="274320"/>
        </a:xfrm>
        <a:prstGeom prst="rect">
          <a:avLst/>
        </a:prstGeom>
        <a:solidFill>
          <a:srgbClr val="2C33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i="0" u="none" strike="noStrike">
              <a:solidFill>
                <a:schemeClr val="lt1"/>
              </a:solidFill>
              <a:effectLst/>
              <a:latin typeface="+mn-lt"/>
              <a:ea typeface="+mn-ea"/>
              <a:cs typeface="+mn-cs"/>
            </a:rPr>
            <a:t>79.19% </a:t>
          </a:r>
        </a:p>
      </xdr:txBody>
    </xdr:sp>
    <xdr:clientData/>
  </xdr:twoCellAnchor>
  <xdr:twoCellAnchor>
    <xdr:from>
      <xdr:col>6</xdr:col>
      <xdr:colOff>198120</xdr:colOff>
      <xdr:row>3</xdr:row>
      <xdr:rowOff>38100</xdr:rowOff>
    </xdr:from>
    <xdr:to>
      <xdr:col>8</xdr:col>
      <xdr:colOff>396240</xdr:colOff>
      <xdr:row>4</xdr:row>
      <xdr:rowOff>167640</xdr:rowOff>
    </xdr:to>
    <xdr:sp macro="" textlink="">
      <xdr:nvSpPr>
        <xdr:cNvPr id="21" name="Rectangle 20">
          <a:extLst>
            <a:ext uri="{FF2B5EF4-FFF2-40B4-BE49-F238E27FC236}">
              <a16:creationId xmlns:a16="http://schemas.microsoft.com/office/drawing/2014/main" id="{3BD405F9-6757-3DA3-C346-1BDE94F3A65C}"/>
            </a:ext>
          </a:extLst>
        </xdr:cNvPr>
        <xdr:cNvSpPr/>
      </xdr:nvSpPr>
      <xdr:spPr>
        <a:xfrm>
          <a:off x="3855720" y="586740"/>
          <a:ext cx="1417320" cy="312420"/>
        </a:xfrm>
        <a:prstGeom prst="rect">
          <a:avLst/>
        </a:prstGeom>
        <a:solidFill>
          <a:srgbClr val="2C33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a:solidFill>
                <a:schemeClr val="bg1"/>
              </a:solidFill>
              <a:latin typeface="Times New Roman" panose="02020603050405020304" pitchFamily="18" charset="0"/>
              <a:ea typeface="+mn-ea"/>
              <a:cs typeface="Times New Roman" panose="02020603050405020304" pitchFamily="18" charset="0"/>
            </a:rPr>
            <a:t>Total Profit</a:t>
          </a:r>
        </a:p>
      </xdr:txBody>
    </xdr:sp>
    <xdr:clientData/>
  </xdr:twoCellAnchor>
  <xdr:twoCellAnchor>
    <xdr:from>
      <xdr:col>6</xdr:col>
      <xdr:colOff>99060</xdr:colOff>
      <xdr:row>5</xdr:row>
      <xdr:rowOff>0</xdr:rowOff>
    </xdr:from>
    <xdr:to>
      <xdr:col>8</xdr:col>
      <xdr:colOff>373380</xdr:colOff>
      <xdr:row>6</xdr:row>
      <xdr:rowOff>129540</xdr:rowOff>
    </xdr:to>
    <xdr:sp macro="" textlink="">
      <xdr:nvSpPr>
        <xdr:cNvPr id="22" name="Rectangle 21">
          <a:extLst>
            <a:ext uri="{FF2B5EF4-FFF2-40B4-BE49-F238E27FC236}">
              <a16:creationId xmlns:a16="http://schemas.microsoft.com/office/drawing/2014/main" id="{94E9731C-496A-9112-80CA-567177CD1A81}"/>
            </a:ext>
          </a:extLst>
        </xdr:cNvPr>
        <xdr:cNvSpPr/>
      </xdr:nvSpPr>
      <xdr:spPr>
        <a:xfrm>
          <a:off x="3756660" y="914400"/>
          <a:ext cx="1493520" cy="312420"/>
        </a:xfrm>
        <a:prstGeom prst="rect">
          <a:avLst/>
        </a:prstGeom>
        <a:solidFill>
          <a:srgbClr val="2C33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i="0" u="none" strike="noStrike">
              <a:solidFill>
                <a:schemeClr val="lt1"/>
              </a:solidFill>
              <a:effectLst/>
              <a:latin typeface="+mn-lt"/>
              <a:ea typeface="+mn-ea"/>
              <a:cs typeface="+mn-cs"/>
            </a:rPr>
            <a:t>₹ 7,21,957.30 </a:t>
          </a:r>
        </a:p>
      </xdr:txBody>
    </xdr:sp>
    <xdr:clientData/>
  </xdr:twoCellAnchor>
  <xdr:twoCellAnchor>
    <xdr:from>
      <xdr:col>9</xdr:col>
      <xdr:colOff>57873</xdr:colOff>
      <xdr:row>3</xdr:row>
      <xdr:rowOff>76199</xdr:rowOff>
    </xdr:from>
    <xdr:to>
      <xdr:col>11</xdr:col>
      <xdr:colOff>485116</xdr:colOff>
      <xdr:row>4</xdr:row>
      <xdr:rowOff>154328</xdr:rowOff>
    </xdr:to>
    <xdr:sp macro="" textlink="">
      <xdr:nvSpPr>
        <xdr:cNvPr id="2" name="Rectangle 1">
          <a:extLst>
            <a:ext uri="{FF2B5EF4-FFF2-40B4-BE49-F238E27FC236}">
              <a16:creationId xmlns:a16="http://schemas.microsoft.com/office/drawing/2014/main" id="{9B762353-942F-5CB8-BCD4-E0C3F70C1879}"/>
            </a:ext>
          </a:extLst>
        </xdr:cNvPr>
        <xdr:cNvSpPr/>
      </xdr:nvSpPr>
      <xdr:spPr>
        <a:xfrm>
          <a:off x="5526911" y="625996"/>
          <a:ext cx="1642585" cy="261395"/>
        </a:xfrm>
        <a:prstGeom prst="rect">
          <a:avLst/>
        </a:prstGeom>
        <a:solidFill>
          <a:srgbClr val="2C33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100" b="1" i="0" u="none" strike="noStrike">
              <a:solidFill>
                <a:schemeClr val="lt1"/>
              </a:solidFill>
              <a:effectLst/>
              <a:latin typeface="+mn-lt"/>
              <a:ea typeface="+mn-ea"/>
              <a:cs typeface="+mn-cs"/>
            </a:rPr>
            <a:t>Average_profit_customer</a:t>
          </a:r>
          <a:r>
            <a:rPr lang="en-IN" sz="1400" b="1">
              <a:effectLst/>
            </a:rPr>
            <a:t> </a:t>
          </a:r>
          <a:endParaRPr lang="en-IN" sz="1400" b="1">
            <a:solidFill>
              <a:schemeClr val="bg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9</xdr:col>
      <xdr:colOff>76200</xdr:colOff>
      <xdr:row>4</xdr:row>
      <xdr:rowOff>167640</xdr:rowOff>
    </xdr:from>
    <xdr:to>
      <xdr:col>11</xdr:col>
      <xdr:colOff>266700</xdr:colOff>
      <xdr:row>6</xdr:row>
      <xdr:rowOff>129540</xdr:rowOff>
    </xdr:to>
    <xdr:sp macro="" textlink="">
      <xdr:nvSpPr>
        <xdr:cNvPr id="4" name="Rectangle 3">
          <a:extLst>
            <a:ext uri="{FF2B5EF4-FFF2-40B4-BE49-F238E27FC236}">
              <a16:creationId xmlns:a16="http://schemas.microsoft.com/office/drawing/2014/main" id="{24E61E61-2959-49CD-B3DF-CE217A871558}"/>
            </a:ext>
          </a:extLst>
        </xdr:cNvPr>
        <xdr:cNvSpPr/>
      </xdr:nvSpPr>
      <xdr:spPr>
        <a:xfrm>
          <a:off x="5562600" y="899160"/>
          <a:ext cx="1409700" cy="327660"/>
        </a:xfrm>
        <a:prstGeom prst="rect">
          <a:avLst/>
        </a:prstGeom>
        <a:solidFill>
          <a:srgbClr val="2C33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i="0" u="none" strike="noStrike">
              <a:solidFill>
                <a:schemeClr val="lt1"/>
              </a:solidFill>
              <a:effectLst/>
              <a:latin typeface="+mn-lt"/>
              <a:ea typeface="+mn-ea"/>
              <a:cs typeface="+mn-cs"/>
            </a:rPr>
            <a:t>₹ 360.98 </a:t>
          </a:r>
        </a:p>
      </xdr:txBody>
    </xdr:sp>
    <xdr:clientData/>
  </xdr:twoCellAnchor>
  <xdr:twoCellAnchor>
    <xdr:from>
      <xdr:col>11</xdr:col>
      <xdr:colOff>548640</xdr:colOff>
      <xdr:row>3</xdr:row>
      <xdr:rowOff>68580</xdr:rowOff>
    </xdr:from>
    <xdr:to>
      <xdr:col>14</xdr:col>
      <xdr:colOff>426720</xdr:colOff>
      <xdr:row>4</xdr:row>
      <xdr:rowOff>167640</xdr:rowOff>
    </xdr:to>
    <xdr:sp macro="" textlink="">
      <xdr:nvSpPr>
        <xdr:cNvPr id="16" name="Rectangle 15">
          <a:extLst>
            <a:ext uri="{FF2B5EF4-FFF2-40B4-BE49-F238E27FC236}">
              <a16:creationId xmlns:a16="http://schemas.microsoft.com/office/drawing/2014/main" id="{D89AE50D-5208-BBD7-C063-D6832C18C0A6}"/>
            </a:ext>
          </a:extLst>
        </xdr:cNvPr>
        <xdr:cNvSpPr/>
      </xdr:nvSpPr>
      <xdr:spPr>
        <a:xfrm>
          <a:off x="7254240" y="617220"/>
          <a:ext cx="1706880" cy="281940"/>
        </a:xfrm>
        <a:prstGeom prst="rect">
          <a:avLst/>
        </a:prstGeom>
        <a:solidFill>
          <a:srgbClr val="2C33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a:solidFill>
                <a:schemeClr val="bg1"/>
              </a:solidFill>
              <a:latin typeface="Times New Roman" panose="02020603050405020304" pitchFamily="18" charset="0"/>
              <a:ea typeface="+mn-ea"/>
              <a:cs typeface="Times New Roman" panose="02020603050405020304" pitchFamily="18" charset="0"/>
            </a:rPr>
            <a:t>Total_Transaction </a:t>
          </a:r>
        </a:p>
      </xdr:txBody>
    </xdr:sp>
    <xdr:clientData/>
  </xdr:twoCellAnchor>
  <xdr:twoCellAnchor>
    <xdr:from>
      <xdr:col>11</xdr:col>
      <xdr:colOff>556260</xdr:colOff>
      <xdr:row>4</xdr:row>
      <xdr:rowOff>152400</xdr:rowOff>
    </xdr:from>
    <xdr:to>
      <xdr:col>14</xdr:col>
      <xdr:colOff>213360</xdr:colOff>
      <xdr:row>6</xdr:row>
      <xdr:rowOff>15240</xdr:rowOff>
    </xdr:to>
    <xdr:sp macro="" textlink="">
      <xdr:nvSpPr>
        <xdr:cNvPr id="17" name="Rectangle 16">
          <a:extLst>
            <a:ext uri="{FF2B5EF4-FFF2-40B4-BE49-F238E27FC236}">
              <a16:creationId xmlns:a16="http://schemas.microsoft.com/office/drawing/2014/main" id="{11ED27C6-F0B8-0F39-AD90-DA0CDE44BFEE}"/>
            </a:ext>
          </a:extLst>
        </xdr:cNvPr>
        <xdr:cNvSpPr/>
      </xdr:nvSpPr>
      <xdr:spPr>
        <a:xfrm>
          <a:off x="7261860" y="883920"/>
          <a:ext cx="1485900" cy="228600"/>
        </a:xfrm>
        <a:prstGeom prst="rect">
          <a:avLst/>
        </a:prstGeom>
        <a:solidFill>
          <a:srgbClr val="2C33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i="0" u="none" strike="noStrike">
              <a:solidFill>
                <a:schemeClr val="lt1"/>
              </a:solidFill>
              <a:effectLst/>
              <a:latin typeface="+mn-lt"/>
              <a:ea typeface="+mn-ea"/>
              <a:cs typeface="+mn-cs"/>
            </a:rPr>
            <a:t>2000 </a:t>
          </a:r>
        </a:p>
      </xdr:txBody>
    </xdr:sp>
    <xdr:clientData/>
  </xdr:twoCellAnchor>
  <xdr:twoCellAnchor>
    <xdr:from>
      <xdr:col>15</xdr:col>
      <xdr:colOff>10513</xdr:colOff>
      <xdr:row>3</xdr:row>
      <xdr:rowOff>116325</xdr:rowOff>
    </xdr:from>
    <xdr:to>
      <xdr:col>17</xdr:col>
      <xdr:colOff>496264</xdr:colOff>
      <xdr:row>4</xdr:row>
      <xdr:rowOff>177285</xdr:rowOff>
    </xdr:to>
    <xdr:sp macro="" textlink="">
      <xdr:nvSpPr>
        <xdr:cNvPr id="18" name="Rectangle 17">
          <a:extLst>
            <a:ext uri="{FF2B5EF4-FFF2-40B4-BE49-F238E27FC236}">
              <a16:creationId xmlns:a16="http://schemas.microsoft.com/office/drawing/2014/main" id="{9FBA12A0-4135-411A-133C-8B9192195E12}"/>
            </a:ext>
          </a:extLst>
        </xdr:cNvPr>
        <xdr:cNvSpPr/>
      </xdr:nvSpPr>
      <xdr:spPr>
        <a:xfrm>
          <a:off x="9125576" y="666122"/>
          <a:ext cx="1701093" cy="244226"/>
        </a:xfrm>
        <a:prstGeom prst="rect">
          <a:avLst/>
        </a:prstGeom>
        <a:solidFill>
          <a:srgbClr val="2C33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100" b="1">
              <a:solidFill>
                <a:schemeClr val="bg1"/>
              </a:solidFill>
              <a:latin typeface="+mj-lt"/>
              <a:ea typeface="+mn-ea"/>
              <a:cs typeface="Times New Roman" panose="02020603050405020304" pitchFamily="18" charset="0"/>
            </a:rPr>
            <a:t>Average_transaction_value </a:t>
          </a:r>
        </a:p>
      </xdr:txBody>
    </xdr:sp>
    <xdr:clientData/>
  </xdr:twoCellAnchor>
  <xdr:twoCellAnchor>
    <xdr:from>
      <xdr:col>15</xdr:col>
      <xdr:colOff>15240</xdr:colOff>
      <xdr:row>4</xdr:row>
      <xdr:rowOff>160020</xdr:rowOff>
    </xdr:from>
    <xdr:to>
      <xdr:col>17</xdr:col>
      <xdr:colOff>320040</xdr:colOff>
      <xdr:row>6</xdr:row>
      <xdr:rowOff>53340</xdr:rowOff>
    </xdr:to>
    <xdr:sp macro="" textlink="">
      <xdr:nvSpPr>
        <xdr:cNvPr id="23" name="Rectangle 22">
          <a:extLst>
            <a:ext uri="{FF2B5EF4-FFF2-40B4-BE49-F238E27FC236}">
              <a16:creationId xmlns:a16="http://schemas.microsoft.com/office/drawing/2014/main" id="{610B2682-7A7F-13FD-F68E-3525A4CBB9CF}"/>
            </a:ext>
          </a:extLst>
        </xdr:cNvPr>
        <xdr:cNvSpPr/>
      </xdr:nvSpPr>
      <xdr:spPr>
        <a:xfrm>
          <a:off x="9159240" y="891540"/>
          <a:ext cx="1524000" cy="259080"/>
        </a:xfrm>
        <a:prstGeom prst="rect">
          <a:avLst/>
        </a:prstGeom>
        <a:solidFill>
          <a:srgbClr val="2C33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i="0" u="none" strike="noStrike">
              <a:solidFill>
                <a:schemeClr val="lt1"/>
              </a:solidFill>
              <a:effectLst/>
              <a:latin typeface="+mn-lt"/>
              <a:ea typeface="+mn-ea"/>
              <a:cs typeface="+mn-cs"/>
            </a:rPr>
            <a:t>₹ 455.86 </a:t>
          </a:r>
        </a:p>
      </xdr:txBody>
    </xdr:sp>
    <xdr:clientData/>
  </xdr:twoCellAnchor>
  <xdr:twoCellAnchor>
    <xdr:from>
      <xdr:col>18</xdr:col>
      <xdr:colOff>18616</xdr:colOff>
      <xdr:row>3</xdr:row>
      <xdr:rowOff>85846</xdr:rowOff>
    </xdr:from>
    <xdr:to>
      <xdr:col>20</xdr:col>
      <xdr:colOff>473887</xdr:colOff>
      <xdr:row>4</xdr:row>
      <xdr:rowOff>139186</xdr:rowOff>
    </xdr:to>
    <xdr:sp macro="" textlink="">
      <xdr:nvSpPr>
        <xdr:cNvPr id="24" name="Rectangle 23">
          <a:extLst>
            <a:ext uri="{FF2B5EF4-FFF2-40B4-BE49-F238E27FC236}">
              <a16:creationId xmlns:a16="http://schemas.microsoft.com/office/drawing/2014/main" id="{7F383FFA-998B-D324-D5FB-8A147BC81B6F}"/>
            </a:ext>
          </a:extLst>
        </xdr:cNvPr>
        <xdr:cNvSpPr/>
      </xdr:nvSpPr>
      <xdr:spPr>
        <a:xfrm>
          <a:off x="10956692" y="635643"/>
          <a:ext cx="1670613" cy="236606"/>
        </a:xfrm>
        <a:prstGeom prst="rect">
          <a:avLst/>
        </a:prstGeom>
        <a:solidFill>
          <a:srgbClr val="2C33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a:solidFill>
                <a:schemeClr val="bg1"/>
              </a:solidFill>
              <a:latin typeface="Times New Roman" panose="02020603050405020304" pitchFamily="18" charset="0"/>
              <a:ea typeface="+mn-ea"/>
              <a:cs typeface="Times New Roman" panose="02020603050405020304" pitchFamily="18" charset="0"/>
            </a:rPr>
            <a:t>Unique_customer </a:t>
          </a:r>
        </a:p>
      </xdr:txBody>
    </xdr:sp>
    <xdr:clientData/>
  </xdr:twoCellAnchor>
  <xdr:twoCellAnchor>
    <xdr:from>
      <xdr:col>17</xdr:col>
      <xdr:colOff>510540</xdr:colOff>
      <xdr:row>4</xdr:row>
      <xdr:rowOff>160020</xdr:rowOff>
    </xdr:from>
    <xdr:to>
      <xdr:col>20</xdr:col>
      <xdr:colOff>304800</xdr:colOff>
      <xdr:row>6</xdr:row>
      <xdr:rowOff>53340</xdr:rowOff>
    </xdr:to>
    <xdr:sp macro="" textlink="">
      <xdr:nvSpPr>
        <xdr:cNvPr id="25" name="Rectangle 24">
          <a:extLst>
            <a:ext uri="{FF2B5EF4-FFF2-40B4-BE49-F238E27FC236}">
              <a16:creationId xmlns:a16="http://schemas.microsoft.com/office/drawing/2014/main" id="{76E3AADE-104A-43A7-3094-81FCB55910CE}"/>
            </a:ext>
          </a:extLst>
        </xdr:cNvPr>
        <xdr:cNvSpPr/>
      </xdr:nvSpPr>
      <xdr:spPr>
        <a:xfrm>
          <a:off x="10873740" y="891540"/>
          <a:ext cx="1623060" cy="259080"/>
        </a:xfrm>
        <a:prstGeom prst="rect">
          <a:avLst/>
        </a:prstGeom>
        <a:solidFill>
          <a:srgbClr val="2C33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i="0" u="none" strike="noStrike">
              <a:solidFill>
                <a:schemeClr val="lt1"/>
              </a:solidFill>
              <a:effectLst/>
              <a:latin typeface="+mn-lt"/>
              <a:ea typeface="+mn-ea"/>
              <a:cs typeface="+mn-cs"/>
            </a:rPr>
            <a:t>157 </a:t>
          </a:r>
        </a:p>
      </xdr:txBody>
    </xdr:sp>
    <xdr:clientData/>
  </xdr:twoCellAnchor>
  <xdr:twoCellAnchor>
    <xdr:from>
      <xdr:col>20</xdr:col>
      <xdr:colOff>586740</xdr:colOff>
      <xdr:row>2</xdr:row>
      <xdr:rowOff>99060</xdr:rowOff>
    </xdr:from>
    <xdr:to>
      <xdr:col>24</xdr:col>
      <xdr:colOff>274320</xdr:colOff>
      <xdr:row>7</xdr:row>
      <xdr:rowOff>45720</xdr:rowOff>
    </xdr:to>
    <xdr:sp macro="" textlink="">
      <xdr:nvSpPr>
        <xdr:cNvPr id="26" name="Rectangle: Rounded Corners 25">
          <a:extLst>
            <a:ext uri="{FF2B5EF4-FFF2-40B4-BE49-F238E27FC236}">
              <a16:creationId xmlns:a16="http://schemas.microsoft.com/office/drawing/2014/main" id="{AFA8336A-0984-0EF0-57E1-D13F12B301F3}"/>
            </a:ext>
          </a:extLst>
        </xdr:cNvPr>
        <xdr:cNvSpPr/>
      </xdr:nvSpPr>
      <xdr:spPr>
        <a:xfrm>
          <a:off x="12838505" y="457648"/>
          <a:ext cx="2137933" cy="843131"/>
        </a:xfrm>
        <a:prstGeom prst="roundRect">
          <a:avLst/>
        </a:prstGeom>
        <a:solidFill>
          <a:srgbClr val="2C333D"/>
        </a:solidFill>
        <a:ln>
          <a:solidFill>
            <a:srgbClr val="1E222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IN" sz="1400" b="1">
            <a:solidFill>
              <a:schemeClr val="bg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21</xdr:col>
      <xdr:colOff>15240</xdr:colOff>
      <xdr:row>3</xdr:row>
      <xdr:rowOff>60960</xdr:rowOff>
    </xdr:from>
    <xdr:to>
      <xdr:col>24</xdr:col>
      <xdr:colOff>198120</xdr:colOff>
      <xdr:row>4</xdr:row>
      <xdr:rowOff>121920</xdr:rowOff>
    </xdr:to>
    <xdr:sp macro="" textlink="">
      <xdr:nvSpPr>
        <xdr:cNvPr id="27" name="Rectangle 26">
          <a:extLst>
            <a:ext uri="{FF2B5EF4-FFF2-40B4-BE49-F238E27FC236}">
              <a16:creationId xmlns:a16="http://schemas.microsoft.com/office/drawing/2014/main" id="{052AE769-F2CD-F01F-EDB6-DDBD3AF74502}"/>
            </a:ext>
          </a:extLst>
        </xdr:cNvPr>
        <xdr:cNvSpPr/>
      </xdr:nvSpPr>
      <xdr:spPr>
        <a:xfrm>
          <a:off x="12816840" y="609600"/>
          <a:ext cx="2011680" cy="243840"/>
        </a:xfrm>
        <a:prstGeom prst="rect">
          <a:avLst/>
        </a:prstGeom>
        <a:solidFill>
          <a:srgbClr val="2C33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a:solidFill>
                <a:schemeClr val="bg1"/>
              </a:solidFill>
              <a:latin typeface="Times New Roman" panose="02020603050405020304" pitchFamily="18" charset="0"/>
              <a:ea typeface="+mn-ea"/>
              <a:cs typeface="Times New Roman" panose="02020603050405020304" pitchFamily="18" charset="0"/>
            </a:rPr>
            <a:t>Revenue_per_customer </a:t>
          </a:r>
        </a:p>
      </xdr:txBody>
    </xdr:sp>
    <xdr:clientData/>
  </xdr:twoCellAnchor>
  <xdr:twoCellAnchor>
    <xdr:from>
      <xdr:col>21</xdr:col>
      <xdr:colOff>15240</xdr:colOff>
      <xdr:row>4</xdr:row>
      <xdr:rowOff>129540</xdr:rowOff>
    </xdr:from>
    <xdr:to>
      <xdr:col>23</xdr:col>
      <xdr:colOff>495300</xdr:colOff>
      <xdr:row>6</xdr:row>
      <xdr:rowOff>83820</xdr:rowOff>
    </xdr:to>
    <xdr:sp macro="" textlink="">
      <xdr:nvSpPr>
        <xdr:cNvPr id="28" name="Rectangle 27">
          <a:extLst>
            <a:ext uri="{FF2B5EF4-FFF2-40B4-BE49-F238E27FC236}">
              <a16:creationId xmlns:a16="http://schemas.microsoft.com/office/drawing/2014/main" id="{75D88AD4-4A12-F674-60A6-A88ED8C0EBEB}"/>
            </a:ext>
          </a:extLst>
        </xdr:cNvPr>
        <xdr:cNvSpPr/>
      </xdr:nvSpPr>
      <xdr:spPr>
        <a:xfrm>
          <a:off x="12816840" y="861060"/>
          <a:ext cx="1699260" cy="320040"/>
        </a:xfrm>
        <a:prstGeom prst="rect">
          <a:avLst/>
        </a:prstGeom>
        <a:solidFill>
          <a:srgbClr val="2C33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i="0" u="none" strike="noStrike">
              <a:solidFill>
                <a:schemeClr val="lt1"/>
              </a:solidFill>
              <a:effectLst/>
              <a:latin typeface="+mn-lt"/>
              <a:ea typeface="+mn-ea"/>
              <a:cs typeface="+mn-cs"/>
            </a:rPr>
            <a:t>₹ 5,807.13 </a:t>
          </a:r>
        </a:p>
      </xdr:txBody>
    </xdr:sp>
    <xdr:clientData/>
  </xdr:twoCellAnchor>
  <xdr:twoCellAnchor>
    <xdr:from>
      <xdr:col>3</xdr:col>
      <xdr:colOff>83820</xdr:colOff>
      <xdr:row>7</xdr:row>
      <xdr:rowOff>76200</xdr:rowOff>
    </xdr:from>
    <xdr:to>
      <xdr:col>5</xdr:col>
      <xdr:colOff>472440</xdr:colOff>
      <xdr:row>13</xdr:row>
      <xdr:rowOff>167640</xdr:rowOff>
    </xdr:to>
    <xdr:sp macro="" textlink="">
      <xdr:nvSpPr>
        <xdr:cNvPr id="31" name="Rectangle 30">
          <a:extLst>
            <a:ext uri="{FF2B5EF4-FFF2-40B4-BE49-F238E27FC236}">
              <a16:creationId xmlns:a16="http://schemas.microsoft.com/office/drawing/2014/main" id="{95A4AB1F-1A63-A765-95D2-4B3CC8D43295}"/>
            </a:ext>
          </a:extLst>
        </xdr:cNvPr>
        <xdr:cNvSpPr/>
      </xdr:nvSpPr>
      <xdr:spPr>
        <a:xfrm>
          <a:off x="1912620" y="1356360"/>
          <a:ext cx="1607820" cy="1188720"/>
        </a:xfrm>
        <a:prstGeom prst="rect">
          <a:avLst/>
        </a:prstGeom>
        <a:solidFill>
          <a:srgbClr val="2C333D"/>
        </a:solidFill>
        <a:ln>
          <a:solidFill>
            <a:srgbClr val="30156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53340</xdr:colOff>
      <xdr:row>7</xdr:row>
      <xdr:rowOff>76200</xdr:rowOff>
    </xdr:from>
    <xdr:to>
      <xdr:col>5</xdr:col>
      <xdr:colOff>487680</xdr:colOff>
      <xdr:row>13</xdr:row>
      <xdr:rowOff>160020</xdr:rowOff>
    </xdr:to>
    <mc:AlternateContent xmlns:mc="http://schemas.openxmlformats.org/markup-compatibility/2006" xmlns:a14="http://schemas.microsoft.com/office/drawing/2010/main">
      <mc:Choice Requires="a14">
        <xdr:graphicFrame macro="">
          <xdr:nvGraphicFramePr>
            <xdr:cNvPr id="32" name="category 2">
              <a:extLst>
                <a:ext uri="{FF2B5EF4-FFF2-40B4-BE49-F238E27FC236}">
                  <a16:creationId xmlns:a16="http://schemas.microsoft.com/office/drawing/2014/main" id="{784A80E8-CA32-4035-B3DB-C3CE7C5B2793}"/>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876353" y="1359061"/>
              <a:ext cx="1649681" cy="11834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129540</xdr:colOff>
      <xdr:row>14</xdr:row>
      <xdr:rowOff>45720</xdr:rowOff>
    </xdr:from>
    <xdr:to>
      <xdr:col>5</xdr:col>
      <xdr:colOff>464820</xdr:colOff>
      <xdr:row>19</xdr:row>
      <xdr:rowOff>76200</xdr:rowOff>
    </xdr:to>
    <xdr:sp macro="" textlink="">
      <xdr:nvSpPr>
        <xdr:cNvPr id="33" name="Rectangle 32">
          <a:extLst>
            <a:ext uri="{FF2B5EF4-FFF2-40B4-BE49-F238E27FC236}">
              <a16:creationId xmlns:a16="http://schemas.microsoft.com/office/drawing/2014/main" id="{8D830AA8-F90E-5853-319A-1ECC2D42B160}"/>
            </a:ext>
          </a:extLst>
        </xdr:cNvPr>
        <xdr:cNvSpPr/>
      </xdr:nvSpPr>
      <xdr:spPr>
        <a:xfrm>
          <a:off x="1958340" y="2606040"/>
          <a:ext cx="1554480" cy="944880"/>
        </a:xfrm>
        <a:prstGeom prst="rect">
          <a:avLst/>
        </a:prstGeom>
        <a:solidFill>
          <a:srgbClr val="2C333D"/>
        </a:solidFill>
        <a:ln>
          <a:solidFill>
            <a:srgbClr val="30156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oneCell">
    <xdr:from>
      <xdr:col>3</xdr:col>
      <xdr:colOff>68580</xdr:colOff>
      <xdr:row>14</xdr:row>
      <xdr:rowOff>0</xdr:rowOff>
    </xdr:from>
    <xdr:to>
      <xdr:col>5</xdr:col>
      <xdr:colOff>480060</xdr:colOff>
      <xdr:row>19</xdr:row>
      <xdr:rowOff>53340</xdr:rowOff>
    </xdr:to>
    <mc:AlternateContent xmlns:mc="http://schemas.openxmlformats.org/markup-compatibility/2006" xmlns:a14="http://schemas.microsoft.com/office/drawing/2010/main">
      <mc:Choice Requires="a14">
        <xdr:graphicFrame macro="">
          <xdr:nvGraphicFramePr>
            <xdr:cNvPr id="34" name="gender 1">
              <a:extLst>
                <a:ext uri="{FF2B5EF4-FFF2-40B4-BE49-F238E27FC236}">
                  <a16:creationId xmlns:a16="http://schemas.microsoft.com/office/drawing/2014/main" id="{C192F622-1E7C-4344-8421-6639CA1C2357}"/>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891593" y="2565722"/>
              <a:ext cx="1626821" cy="9696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99060</xdr:colOff>
      <xdr:row>20</xdr:row>
      <xdr:rowOff>0</xdr:rowOff>
    </xdr:from>
    <xdr:to>
      <xdr:col>5</xdr:col>
      <xdr:colOff>487680</xdr:colOff>
      <xdr:row>24</xdr:row>
      <xdr:rowOff>129540</xdr:rowOff>
    </xdr:to>
    <xdr:sp macro="" textlink="">
      <xdr:nvSpPr>
        <xdr:cNvPr id="35" name="Rectangle 34">
          <a:extLst>
            <a:ext uri="{FF2B5EF4-FFF2-40B4-BE49-F238E27FC236}">
              <a16:creationId xmlns:a16="http://schemas.microsoft.com/office/drawing/2014/main" id="{30DE1AD9-7D38-965D-4DBB-3EC2F57BF8C5}"/>
            </a:ext>
          </a:extLst>
        </xdr:cNvPr>
        <xdr:cNvSpPr/>
      </xdr:nvSpPr>
      <xdr:spPr>
        <a:xfrm>
          <a:off x="1927860" y="3657600"/>
          <a:ext cx="1607820" cy="8610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53340</xdr:colOff>
      <xdr:row>20</xdr:row>
      <xdr:rowOff>0</xdr:rowOff>
    </xdr:from>
    <xdr:to>
      <xdr:col>5</xdr:col>
      <xdr:colOff>579120</xdr:colOff>
      <xdr:row>24</xdr:row>
      <xdr:rowOff>121919</xdr:rowOff>
    </xdr:to>
    <mc:AlternateContent xmlns:mc="http://schemas.openxmlformats.org/markup-compatibility/2006" xmlns:a14="http://schemas.microsoft.com/office/drawing/2010/main">
      <mc:Choice Requires="a14">
        <xdr:graphicFrame macro="">
          <xdr:nvGraphicFramePr>
            <xdr:cNvPr id="36" name="Year 1">
              <a:extLst>
                <a:ext uri="{FF2B5EF4-FFF2-40B4-BE49-F238E27FC236}">
                  <a16:creationId xmlns:a16="http://schemas.microsoft.com/office/drawing/2014/main" id="{A2166ECB-F014-43A0-B434-D1055A3FCCE8}"/>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876353" y="3665316"/>
              <a:ext cx="1741121" cy="8549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65852</xdr:colOff>
      <xdr:row>24</xdr:row>
      <xdr:rowOff>167640</xdr:rowOff>
    </xdr:from>
    <xdr:to>
      <xdr:col>5</xdr:col>
      <xdr:colOff>541020</xdr:colOff>
      <xdr:row>35</xdr:row>
      <xdr:rowOff>0</xdr:rowOff>
    </xdr:to>
    <mc:AlternateContent xmlns:mc="http://schemas.openxmlformats.org/markup-compatibility/2006" xmlns:a14="http://schemas.microsoft.com/office/drawing/2010/main">
      <mc:Choice Requires="a14">
        <xdr:graphicFrame macro="">
          <xdr:nvGraphicFramePr>
            <xdr:cNvPr id="37" name="month_name 1">
              <a:extLst>
                <a:ext uri="{FF2B5EF4-FFF2-40B4-BE49-F238E27FC236}">
                  <a16:creationId xmlns:a16="http://schemas.microsoft.com/office/drawing/2014/main" id="{99F6CC30-BA1D-4C26-8F91-36DAE1B1BA7E}"/>
                </a:ext>
              </a:extLst>
            </xdr:cNvPr>
            <xdr:cNvGraphicFramePr/>
          </xdr:nvGraphicFramePr>
          <xdr:xfrm>
            <a:off x="0" y="0"/>
            <a:ext cx="0" cy="0"/>
          </xdr:xfrm>
          <a:graphic>
            <a:graphicData uri="http://schemas.microsoft.com/office/drawing/2010/slicer">
              <sle:slicer xmlns:sle="http://schemas.microsoft.com/office/drawing/2010/slicer" name="month_name 1"/>
            </a:graphicData>
          </a:graphic>
        </xdr:graphicFrame>
      </mc:Choice>
      <mc:Fallback xmlns="">
        <xdr:sp macro="" textlink="">
          <xdr:nvSpPr>
            <xdr:cNvPr id="0" name=""/>
            <xdr:cNvSpPr>
              <a:spLocks noTextEdit="1"/>
            </xdr:cNvSpPr>
          </xdr:nvSpPr>
          <xdr:spPr>
            <a:xfrm>
              <a:off x="1888865" y="4566020"/>
              <a:ext cx="1690509" cy="18482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586740</xdr:colOff>
      <xdr:row>7</xdr:row>
      <xdr:rowOff>91440</xdr:rowOff>
    </xdr:from>
    <xdr:to>
      <xdr:col>13</xdr:col>
      <xdr:colOff>182880</xdr:colOff>
      <xdr:row>20</xdr:row>
      <xdr:rowOff>7620</xdr:rowOff>
    </xdr:to>
    <xdr:graphicFrame macro="">
      <xdr:nvGraphicFramePr>
        <xdr:cNvPr id="38" name="Chart 37">
          <a:extLst>
            <a:ext uri="{FF2B5EF4-FFF2-40B4-BE49-F238E27FC236}">
              <a16:creationId xmlns:a16="http://schemas.microsoft.com/office/drawing/2014/main" id="{C6B8F60B-15FE-4247-A13E-603D673E3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266700</xdr:colOff>
      <xdr:row>7</xdr:row>
      <xdr:rowOff>99060</xdr:rowOff>
    </xdr:from>
    <xdr:to>
      <xdr:col>20</xdr:col>
      <xdr:colOff>586740</xdr:colOff>
      <xdr:row>20</xdr:row>
      <xdr:rowOff>7620</xdr:rowOff>
    </xdr:to>
    <xdr:graphicFrame macro="">
      <xdr:nvGraphicFramePr>
        <xdr:cNvPr id="39" name="Chart 38">
          <a:extLst>
            <a:ext uri="{FF2B5EF4-FFF2-40B4-BE49-F238E27FC236}">
              <a16:creationId xmlns:a16="http://schemas.microsoft.com/office/drawing/2014/main" id="{61E255C6-4DF6-4D6B-ABEA-D14B6C92E1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13569</xdr:colOff>
      <xdr:row>7</xdr:row>
      <xdr:rowOff>106680</xdr:rowOff>
    </xdr:from>
    <xdr:to>
      <xdr:col>25</xdr:col>
      <xdr:colOff>364089</xdr:colOff>
      <xdr:row>19</xdr:row>
      <xdr:rowOff>160020</xdr:rowOff>
    </xdr:to>
    <xdr:graphicFrame macro="">
      <xdr:nvGraphicFramePr>
        <xdr:cNvPr id="40" name="Chart 39">
          <a:extLst>
            <a:ext uri="{FF2B5EF4-FFF2-40B4-BE49-F238E27FC236}">
              <a16:creationId xmlns:a16="http://schemas.microsoft.com/office/drawing/2014/main" id="{5031676D-0404-47EC-B8F0-14B6F70C51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594360</xdr:colOff>
      <xdr:row>20</xdr:row>
      <xdr:rowOff>91440</xdr:rowOff>
    </xdr:from>
    <xdr:to>
      <xdr:col>20</xdr:col>
      <xdr:colOff>76200</xdr:colOff>
      <xdr:row>34</xdr:row>
      <xdr:rowOff>152400</xdr:rowOff>
    </xdr:to>
    <xdr:graphicFrame macro="">
      <xdr:nvGraphicFramePr>
        <xdr:cNvPr id="42" name="Chart 41">
          <a:extLst>
            <a:ext uri="{FF2B5EF4-FFF2-40B4-BE49-F238E27FC236}">
              <a16:creationId xmlns:a16="http://schemas.microsoft.com/office/drawing/2014/main" id="{334BC66F-6755-4C9C-B958-EC6E36F15A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137995</xdr:colOff>
      <xdr:row>20</xdr:row>
      <xdr:rowOff>83507</xdr:rowOff>
    </xdr:from>
    <xdr:to>
      <xdr:col>25</xdr:col>
      <xdr:colOff>511480</xdr:colOff>
      <xdr:row>34</xdr:row>
      <xdr:rowOff>114822</xdr:rowOff>
    </xdr:to>
    <xdr:graphicFrame macro="">
      <xdr:nvGraphicFramePr>
        <xdr:cNvPr id="43" name="Chart 42">
          <a:extLst>
            <a:ext uri="{FF2B5EF4-FFF2-40B4-BE49-F238E27FC236}">
              <a16:creationId xmlns:a16="http://schemas.microsoft.com/office/drawing/2014/main" id="{C1B30D00-4459-4C1C-A4AB-1BA48F7AF1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22411</xdr:colOff>
      <xdr:row>7</xdr:row>
      <xdr:rowOff>134470</xdr:rowOff>
    </xdr:from>
    <xdr:to>
      <xdr:col>3</xdr:col>
      <xdr:colOff>25612</xdr:colOff>
      <xdr:row>34</xdr:row>
      <xdr:rowOff>160085</xdr:rowOff>
    </xdr:to>
    <xdr:sp macro="" textlink="">
      <xdr:nvSpPr>
        <xdr:cNvPr id="44" name="Rectangle 43">
          <a:extLst>
            <a:ext uri="{FF2B5EF4-FFF2-40B4-BE49-F238E27FC236}">
              <a16:creationId xmlns:a16="http://schemas.microsoft.com/office/drawing/2014/main" id="{53000A46-9632-C412-0580-76784969784B}"/>
            </a:ext>
          </a:extLst>
        </xdr:cNvPr>
        <xdr:cNvSpPr/>
      </xdr:nvSpPr>
      <xdr:spPr>
        <a:xfrm>
          <a:off x="22411" y="1434352"/>
          <a:ext cx="1828159" cy="5039447"/>
        </a:xfrm>
        <a:prstGeom prst="rect">
          <a:avLst/>
        </a:prstGeom>
        <a:solidFill>
          <a:srgbClr val="2A2F3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14941</xdr:colOff>
      <xdr:row>7</xdr:row>
      <xdr:rowOff>74705</xdr:rowOff>
    </xdr:from>
    <xdr:to>
      <xdr:col>3</xdr:col>
      <xdr:colOff>29882</xdr:colOff>
      <xdr:row>15</xdr:row>
      <xdr:rowOff>149412</xdr:rowOff>
    </xdr:to>
    <xdr:sp macro="" textlink="">
      <xdr:nvSpPr>
        <xdr:cNvPr id="45" name="Rectangle 44">
          <a:extLst>
            <a:ext uri="{FF2B5EF4-FFF2-40B4-BE49-F238E27FC236}">
              <a16:creationId xmlns:a16="http://schemas.microsoft.com/office/drawing/2014/main" id="{61B30AC3-3155-ECEA-04C2-CC5744D9175C}"/>
            </a:ext>
          </a:extLst>
        </xdr:cNvPr>
        <xdr:cNvSpPr/>
      </xdr:nvSpPr>
      <xdr:spPr>
        <a:xfrm>
          <a:off x="14941" y="1329764"/>
          <a:ext cx="1852706" cy="1509060"/>
        </a:xfrm>
        <a:prstGeom prst="rect">
          <a:avLst/>
        </a:prstGeom>
        <a:solidFill>
          <a:srgbClr val="2A2F3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50" b="1" baseline="0"/>
            <a:t>    </a:t>
          </a:r>
          <a:r>
            <a:rPr lang="en-IN" sz="900" b="1"/>
            <a:t>Overall Financial Performance:</a:t>
          </a:r>
        </a:p>
        <a:p>
          <a:pPr algn="l"/>
          <a:r>
            <a:rPr lang="en-IN" sz="1050"/>
            <a:t>The business demonstrates </a:t>
          </a:r>
          <a:r>
            <a:rPr lang="en-IN" sz="1050" b="1"/>
            <a:t>high profitability relative to revenue</a:t>
          </a:r>
          <a:r>
            <a:rPr lang="en-IN" sz="1050"/>
            <a:t>, indicating strong cost control and pricing power. However, margin sustainability should be validated against market benchmarks.</a:t>
          </a:r>
          <a:endParaRPr lang="en-IN" sz="1050" b="1"/>
        </a:p>
      </xdr:txBody>
    </xdr:sp>
    <xdr:clientData/>
  </xdr:twoCellAnchor>
  <xdr:twoCellAnchor editAs="oneCell">
    <xdr:from>
      <xdr:col>0</xdr:col>
      <xdr:colOff>44505</xdr:colOff>
      <xdr:row>7</xdr:row>
      <xdr:rowOff>127000</xdr:rowOff>
    </xdr:from>
    <xdr:to>
      <xdr:col>0</xdr:col>
      <xdr:colOff>231269</xdr:colOff>
      <xdr:row>8</xdr:row>
      <xdr:rowOff>134470</xdr:rowOff>
    </xdr:to>
    <xdr:pic>
      <xdr:nvPicPr>
        <xdr:cNvPr id="47" name="Graphic 46" descr="Pin with solid fill">
          <a:extLst>
            <a:ext uri="{FF2B5EF4-FFF2-40B4-BE49-F238E27FC236}">
              <a16:creationId xmlns:a16="http://schemas.microsoft.com/office/drawing/2014/main" id="{3291CA13-FB9D-3EA7-6B96-6040F84B624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rot="5052067">
          <a:off x="44505" y="1382059"/>
          <a:ext cx="186764" cy="186764"/>
        </a:xfrm>
        <a:prstGeom prst="rect">
          <a:avLst/>
        </a:prstGeom>
      </xdr:spPr>
    </xdr:pic>
    <xdr:clientData/>
  </xdr:twoCellAnchor>
  <xdr:twoCellAnchor>
    <xdr:from>
      <xdr:col>0</xdr:col>
      <xdr:colOff>7471</xdr:colOff>
      <xdr:row>15</xdr:row>
      <xdr:rowOff>121663</xdr:rowOff>
    </xdr:from>
    <xdr:to>
      <xdr:col>3</xdr:col>
      <xdr:colOff>44825</xdr:colOff>
      <xdr:row>21</xdr:row>
      <xdr:rowOff>121663</xdr:rowOff>
    </xdr:to>
    <xdr:sp macro="" textlink="">
      <xdr:nvSpPr>
        <xdr:cNvPr id="48" name="Rectangle 47">
          <a:extLst>
            <a:ext uri="{FF2B5EF4-FFF2-40B4-BE49-F238E27FC236}">
              <a16:creationId xmlns:a16="http://schemas.microsoft.com/office/drawing/2014/main" id="{0DA03E2B-6B4C-157E-AEF6-AE9F3797E7A1}"/>
            </a:ext>
          </a:extLst>
        </xdr:cNvPr>
        <xdr:cNvSpPr/>
      </xdr:nvSpPr>
      <xdr:spPr>
        <a:xfrm>
          <a:off x="7471" y="2907125"/>
          <a:ext cx="1862312" cy="1114185"/>
        </a:xfrm>
        <a:prstGeom prst="rect">
          <a:avLst/>
        </a:prstGeom>
        <a:solidFill>
          <a:srgbClr val="2A2F3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a:t>Category Performance:</a:t>
          </a:r>
        </a:p>
        <a:p>
          <a:pPr algn="l"/>
          <a:r>
            <a:rPr lang="en-IN" sz="1100"/>
            <a:t> </a:t>
          </a:r>
          <a:r>
            <a:rPr lang="en-IN"/>
            <a:t>Revenue distribution is relatively balanced across categories. No single category dependency risk.</a:t>
          </a:r>
          <a:endParaRPr lang="en-IN" sz="1100"/>
        </a:p>
      </xdr:txBody>
    </xdr:sp>
    <xdr:clientData/>
  </xdr:twoCellAnchor>
  <xdr:twoCellAnchor editAs="oneCell">
    <xdr:from>
      <xdr:col>0</xdr:col>
      <xdr:colOff>17611</xdr:colOff>
      <xdr:row>15</xdr:row>
      <xdr:rowOff>159871</xdr:rowOff>
    </xdr:from>
    <xdr:to>
      <xdr:col>0</xdr:col>
      <xdr:colOff>204375</xdr:colOff>
      <xdr:row>16</xdr:row>
      <xdr:rowOff>167341</xdr:rowOff>
    </xdr:to>
    <xdr:pic>
      <xdr:nvPicPr>
        <xdr:cNvPr id="49" name="Graphic 48" descr="Pin with solid fill">
          <a:extLst>
            <a:ext uri="{FF2B5EF4-FFF2-40B4-BE49-F238E27FC236}">
              <a16:creationId xmlns:a16="http://schemas.microsoft.com/office/drawing/2014/main" id="{171D4C3E-57B7-45E2-AD52-C3041864788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rot="5052067">
          <a:off x="17611" y="2849283"/>
          <a:ext cx="186764" cy="186764"/>
        </a:xfrm>
        <a:prstGeom prst="rect">
          <a:avLst/>
        </a:prstGeom>
      </xdr:spPr>
    </xdr:pic>
    <xdr:clientData/>
  </xdr:twoCellAnchor>
  <xdr:twoCellAnchor>
    <xdr:from>
      <xdr:col>0</xdr:col>
      <xdr:colOff>29882</xdr:colOff>
      <xdr:row>21</xdr:row>
      <xdr:rowOff>52294</xdr:rowOff>
    </xdr:from>
    <xdr:to>
      <xdr:col>3</xdr:col>
      <xdr:colOff>37353</xdr:colOff>
      <xdr:row>29</xdr:row>
      <xdr:rowOff>7470</xdr:rowOff>
    </xdr:to>
    <xdr:sp macro="" textlink="">
      <xdr:nvSpPr>
        <xdr:cNvPr id="50" name="Rectangle 49">
          <a:extLst>
            <a:ext uri="{FF2B5EF4-FFF2-40B4-BE49-F238E27FC236}">
              <a16:creationId xmlns:a16="http://schemas.microsoft.com/office/drawing/2014/main" id="{A2383F3C-AD72-2B58-4FFB-6C25859739B8}"/>
            </a:ext>
          </a:extLst>
        </xdr:cNvPr>
        <xdr:cNvSpPr/>
      </xdr:nvSpPr>
      <xdr:spPr>
        <a:xfrm>
          <a:off x="29882" y="3817470"/>
          <a:ext cx="1845236" cy="1389529"/>
        </a:xfrm>
        <a:prstGeom prst="rect">
          <a:avLst/>
        </a:prstGeom>
        <a:solidFill>
          <a:srgbClr val="2A2F3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 Per-Item Profitability Leader:</a:t>
          </a:r>
        </a:p>
        <a:p>
          <a:pPr algn="l"/>
          <a:r>
            <a:rPr lang="en-IN"/>
            <a:t>Clothing has the highest margin efficiency per transaction, suggesting potential for strategic investment or upselling focus.</a:t>
          </a:r>
          <a:endParaRPr lang="en-IN" sz="1100"/>
        </a:p>
      </xdr:txBody>
    </xdr:sp>
    <xdr:clientData/>
  </xdr:twoCellAnchor>
  <xdr:twoCellAnchor editAs="oneCell">
    <xdr:from>
      <xdr:col>0</xdr:col>
      <xdr:colOff>13127</xdr:colOff>
      <xdr:row>21</xdr:row>
      <xdr:rowOff>65742</xdr:rowOff>
    </xdr:from>
    <xdr:to>
      <xdr:col>0</xdr:col>
      <xdr:colOff>199891</xdr:colOff>
      <xdr:row>22</xdr:row>
      <xdr:rowOff>73211</xdr:rowOff>
    </xdr:to>
    <xdr:pic>
      <xdr:nvPicPr>
        <xdr:cNvPr id="51" name="Graphic 50" descr="Pin with solid fill">
          <a:extLst>
            <a:ext uri="{FF2B5EF4-FFF2-40B4-BE49-F238E27FC236}">
              <a16:creationId xmlns:a16="http://schemas.microsoft.com/office/drawing/2014/main" id="{D04BF1A9-C006-4A50-A7EB-FDF8BEEA391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rot="5052067">
          <a:off x="13127" y="3830918"/>
          <a:ext cx="186764" cy="186764"/>
        </a:xfrm>
        <a:prstGeom prst="rect">
          <a:avLst/>
        </a:prstGeom>
      </xdr:spPr>
    </xdr:pic>
    <xdr:clientData/>
  </xdr:twoCellAnchor>
  <xdr:twoCellAnchor>
    <xdr:from>
      <xdr:col>0</xdr:col>
      <xdr:colOff>29882</xdr:colOff>
      <xdr:row>28</xdr:row>
      <xdr:rowOff>121666</xdr:rowOff>
    </xdr:from>
    <xdr:to>
      <xdr:col>3</xdr:col>
      <xdr:colOff>29882</xdr:colOff>
      <xdr:row>34</xdr:row>
      <xdr:rowOff>159019</xdr:rowOff>
    </xdr:to>
    <xdr:sp macro="" textlink="">
      <xdr:nvSpPr>
        <xdr:cNvPr id="53" name="Rectangle 52">
          <a:extLst>
            <a:ext uri="{FF2B5EF4-FFF2-40B4-BE49-F238E27FC236}">
              <a16:creationId xmlns:a16="http://schemas.microsoft.com/office/drawing/2014/main" id="{179DBB68-6972-F87F-78A1-759368144501}"/>
            </a:ext>
          </a:extLst>
        </xdr:cNvPr>
        <xdr:cNvSpPr/>
      </xdr:nvSpPr>
      <xdr:spPr>
        <a:xfrm>
          <a:off x="29882" y="5321195"/>
          <a:ext cx="1824958" cy="1151538"/>
        </a:xfrm>
        <a:prstGeom prst="rect">
          <a:avLst/>
        </a:prstGeom>
        <a:solidFill>
          <a:srgbClr val="2A2F3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a:t>Consistent Upward Revenue Trend in 2023 :</a:t>
          </a:r>
        </a:p>
        <a:p>
          <a:pPr marL="0" marR="0" lvl="0" indent="0" algn="l" defTabSz="914400" eaLnBrk="1" fontAlgn="auto" latinLnBrk="0" hangingPunct="1">
            <a:lnSpc>
              <a:spcPct val="100000"/>
            </a:lnSpc>
            <a:spcBef>
              <a:spcPts val="0"/>
            </a:spcBef>
            <a:spcAft>
              <a:spcPts val="0"/>
            </a:spcAft>
            <a:buClrTx/>
            <a:buSzTx/>
            <a:buFontTx/>
            <a:buNone/>
            <a:tabLst/>
            <a:defRPr/>
          </a:pPr>
          <a:r>
            <a:rPr lang="en-IN"/>
            <a:t>Revenue growth momentum strengthens in second half of year.</a:t>
          </a:r>
        </a:p>
        <a:p>
          <a:pPr algn="l"/>
          <a:endParaRPr lang="en-IN" sz="1100"/>
        </a:p>
      </xdr:txBody>
    </xdr:sp>
    <xdr:clientData/>
  </xdr:twoCellAnchor>
  <xdr:twoCellAnchor editAs="oneCell">
    <xdr:from>
      <xdr:col>0</xdr:col>
      <xdr:colOff>53467</xdr:colOff>
      <xdr:row>29</xdr:row>
      <xdr:rowOff>16436</xdr:rowOff>
    </xdr:from>
    <xdr:to>
      <xdr:col>0</xdr:col>
      <xdr:colOff>240231</xdr:colOff>
      <xdr:row>30</xdr:row>
      <xdr:rowOff>23905</xdr:rowOff>
    </xdr:to>
    <xdr:pic>
      <xdr:nvPicPr>
        <xdr:cNvPr id="55" name="Graphic 54" descr="Pin with solid fill">
          <a:extLst>
            <a:ext uri="{FF2B5EF4-FFF2-40B4-BE49-F238E27FC236}">
              <a16:creationId xmlns:a16="http://schemas.microsoft.com/office/drawing/2014/main" id="{9DC4C39B-DA73-405D-B7A7-3FA9ED264F0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rot="5052067">
          <a:off x="53467" y="5215965"/>
          <a:ext cx="186764" cy="186764"/>
        </a:xfrm>
        <a:prstGeom prst="rect">
          <a:avLst/>
        </a:prstGeom>
      </xdr:spPr>
    </xdr:pic>
    <xdr:clientData/>
  </xdr:twoCellAnchor>
  <xdr:twoCellAnchor>
    <xdr:from>
      <xdr:col>5</xdr:col>
      <xdr:colOff>584548</xdr:colOff>
      <xdr:row>20</xdr:row>
      <xdr:rowOff>93945</xdr:rowOff>
    </xdr:from>
    <xdr:to>
      <xdr:col>12</xdr:col>
      <xdr:colOff>553232</xdr:colOff>
      <xdr:row>34</xdr:row>
      <xdr:rowOff>125260</xdr:rowOff>
    </xdr:to>
    <xdr:graphicFrame macro="">
      <xdr:nvGraphicFramePr>
        <xdr:cNvPr id="57" name="Chart 56">
          <a:extLst>
            <a:ext uri="{FF2B5EF4-FFF2-40B4-BE49-F238E27FC236}">
              <a16:creationId xmlns:a16="http://schemas.microsoft.com/office/drawing/2014/main" id="{20326F62-F9DA-4ED5-9AE1-22B66591CE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0</xdr:colOff>
      <xdr:row>35</xdr:row>
      <xdr:rowOff>37630</xdr:rowOff>
    </xdr:from>
    <xdr:to>
      <xdr:col>5</xdr:col>
      <xdr:colOff>526815</xdr:colOff>
      <xdr:row>43</xdr:row>
      <xdr:rowOff>9408</xdr:rowOff>
    </xdr:to>
    <mc:AlternateContent xmlns:mc="http://schemas.openxmlformats.org/markup-compatibility/2006" xmlns:a14="http://schemas.microsoft.com/office/drawing/2010/main">
      <mc:Choice Requires="a14">
        <xdr:graphicFrame macro="">
          <xdr:nvGraphicFramePr>
            <xdr:cNvPr id="59" name="Quarter_Label 2">
              <a:extLst>
                <a:ext uri="{FF2B5EF4-FFF2-40B4-BE49-F238E27FC236}">
                  <a16:creationId xmlns:a16="http://schemas.microsoft.com/office/drawing/2014/main" id="{3C83D271-6BD1-43ED-88CD-C90011BE80AC}"/>
                </a:ext>
              </a:extLst>
            </xdr:cNvPr>
            <xdr:cNvGraphicFramePr/>
          </xdr:nvGraphicFramePr>
          <xdr:xfrm>
            <a:off x="0" y="0"/>
            <a:ext cx="0" cy="0"/>
          </xdr:xfrm>
          <a:graphic>
            <a:graphicData uri="http://schemas.microsoft.com/office/drawing/2010/slicer">
              <sle:slicer xmlns:sle="http://schemas.microsoft.com/office/drawing/2010/slicer" name="Quarter_Label 2"/>
            </a:graphicData>
          </a:graphic>
        </xdr:graphicFrame>
      </mc:Choice>
      <mc:Fallback xmlns="">
        <xdr:sp macro="" textlink="">
          <xdr:nvSpPr>
            <xdr:cNvPr id="0" name=""/>
            <xdr:cNvSpPr>
              <a:spLocks noTextEdit="1"/>
            </xdr:cNvSpPr>
          </xdr:nvSpPr>
          <xdr:spPr>
            <a:xfrm>
              <a:off x="0" y="6451934"/>
              <a:ext cx="3565169" cy="14379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nap" refreshedDate="46082.544161689817" createdVersion="8" refreshedVersion="8" minRefreshableVersion="3" recordCount="2000" xr:uid="{6954C290-5C3E-4404-A31E-356EA9E0C587}">
  <cacheSource type="worksheet">
    <worksheetSource ref="A1:T2001" sheet="retail_cleaned"/>
  </cacheSource>
  <cacheFields count="20">
    <cacheField name="transactions_id" numFmtId="0">
      <sharedItems containsSemiMixedTypes="0" containsString="0" containsNumber="1" containsInteger="1" minValue="1" maxValue="2000"/>
    </cacheField>
    <cacheField name="sale_date" numFmtId="14">
      <sharedItems containsSemiMixedTypes="0" containsNonDate="0" containsDate="1" containsString="0" minDate="2022-01-01T00:00:00" maxDate="2024-01-01T00:00:00"/>
    </cacheField>
    <cacheField name="sale_time" numFmtId="21">
      <sharedItems containsSemiMixedTypes="0" containsNonDate="0" containsDate="1" containsString="0" minDate="1899-12-30T06:01:00" maxDate="1899-12-30T23:00:00"/>
    </cacheField>
    <cacheField name="customer_id" numFmtId="0">
      <sharedItems containsSemiMixedTypes="0" containsString="0" containsNumber="1" containsInteger="1" minValue="1" maxValue="155"/>
    </cacheField>
    <cacheField name="gender" numFmtId="0">
      <sharedItems count="2">
        <s v="Male"/>
        <s v="Female"/>
      </sharedItems>
    </cacheField>
    <cacheField name="age" numFmtId="0">
      <sharedItems containsSemiMixedTypes="0" containsString="0" containsNumber="1" containsInteger="1" minValue="0" maxValue="64" count="48">
        <n v="41"/>
        <n v="46"/>
        <n v="40"/>
        <n v="64"/>
        <n v="19"/>
        <n v="37"/>
        <n v="26"/>
        <n v="30"/>
        <n v="23"/>
        <n v="38"/>
        <n v="57"/>
        <n v="0"/>
        <n v="51"/>
        <n v="60"/>
        <n v="45"/>
        <n v="63"/>
        <n v="31"/>
        <n v="27"/>
        <n v="18"/>
        <n v="33"/>
        <n v="50"/>
        <n v="53"/>
        <n v="43"/>
        <n v="34"/>
        <n v="24"/>
        <n v="42"/>
        <n v="59"/>
        <n v="39"/>
        <n v="49"/>
        <n v="54"/>
        <n v="22"/>
        <n v="36"/>
        <n v="28"/>
        <n v="29"/>
        <n v="56"/>
        <n v="47"/>
        <n v="20"/>
        <n v="32"/>
        <n v="25"/>
        <n v="35"/>
        <n v="21"/>
        <n v="52"/>
        <n v="48"/>
        <n v="58"/>
        <n v="62"/>
        <n v="61"/>
        <n v="55"/>
        <n v="44"/>
      </sharedItems>
    </cacheField>
    <cacheField name="category" numFmtId="0">
      <sharedItems count="3">
        <s v="Clothing"/>
        <s v="Beauty"/>
        <s v="Electronics"/>
      </sharedItems>
    </cacheField>
    <cacheField name="quantiy" numFmtId="0">
      <sharedItems containsSemiMixedTypes="0" containsString="0" containsNumber="1" containsInteger="1" minValue="0" maxValue="4"/>
    </cacheField>
    <cacheField name="price_per_unit" numFmtId="0">
      <sharedItems containsSemiMixedTypes="0" containsString="0" containsNumber="1" containsInteger="1" minValue="0" maxValue="500"/>
    </cacheField>
    <cacheField name="cogs" numFmtId="0">
      <sharedItems containsSemiMixedTypes="0" containsString="0" containsNumber="1" minValue="0" maxValue="620"/>
    </cacheField>
    <cacheField name="total_sale" numFmtId="0">
      <sharedItems containsSemiMixedTypes="0" containsString="0" containsNumber="1" containsInteger="1" minValue="0" maxValue="2000"/>
    </cacheField>
    <cacheField name="Year" numFmtId="0">
      <sharedItems containsSemiMixedTypes="0" containsString="0" containsNumber="1" containsInteger="1" minValue="2022" maxValue="2023" count="2">
        <n v="2022"/>
        <n v="2023"/>
      </sharedItems>
    </cacheField>
    <cacheField name="Month" numFmtId="0">
      <sharedItems containsSemiMixedTypes="0" containsString="0" containsNumber="1" containsInteger="1" minValue="1" maxValue="12"/>
    </cacheField>
    <cacheField name="month_name" numFmtId="0">
      <sharedItems count="12">
        <s v="November"/>
        <s v="July"/>
        <s v="December"/>
        <s v="January"/>
        <s v="August"/>
        <s v="October"/>
        <s v="April"/>
        <s v="May"/>
        <s v="March"/>
        <s v="September"/>
        <s v="February"/>
        <s v="June"/>
      </sharedItems>
    </cacheField>
    <cacheField name="Day" numFmtId="0">
      <sharedItems containsSemiMixedTypes="0" containsString="0" containsNumber="1" containsInteger="1" minValue="1" maxValue="31"/>
    </cacheField>
    <cacheField name="day_name" numFmtId="0">
      <sharedItems count="7">
        <s v="Saturday"/>
        <s v="Monday"/>
        <s v="Thursday"/>
        <s v="Friday"/>
        <s v="Wednesday"/>
        <s v="Sunday"/>
        <s v="Tuesday"/>
      </sharedItems>
    </cacheField>
    <cacheField name="quarter" numFmtId="166">
      <sharedItems containsSemiMixedTypes="0" containsString="0" containsNumber="1" containsInteger="1" minValue="1" maxValue="4" count="4">
        <n v="4"/>
        <n v="3"/>
        <n v="1"/>
        <n v="2"/>
      </sharedItems>
    </cacheField>
    <cacheField name="profit" numFmtId="0">
      <sharedItems containsSemiMixedTypes="0" containsString="0" containsNumber="1" minValue="-120" maxValue="1875"/>
    </cacheField>
    <cacheField name="profit_margin" numFmtId="0">
      <sharedItems containsString="0" containsBlank="1" containsNumber="1" minValue="-0.25" maxValue="0.9375"/>
    </cacheField>
    <cacheField name="high_value"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23008450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nap" refreshedDate="46082.544412731484" createdVersion="8" refreshedVersion="8" minRefreshableVersion="3" recordCount="2000" xr:uid="{9219680B-84BB-44DA-97B2-DBD1CA511973}">
  <cacheSource type="worksheet">
    <worksheetSource ref="A1:U2001" sheet="retail_cleaned"/>
  </cacheSource>
  <cacheFields count="21">
    <cacheField name="transactions_id" numFmtId="0">
      <sharedItems containsSemiMixedTypes="0" containsString="0" containsNumber="1" containsInteger="1" minValue="1" maxValue="2000"/>
    </cacheField>
    <cacheField name="sale_date" numFmtId="14">
      <sharedItems containsSemiMixedTypes="0" containsNonDate="0" containsDate="1" containsString="0" minDate="2022-01-01T00:00:00" maxDate="2024-01-01T00:00:00"/>
    </cacheField>
    <cacheField name="sale_time" numFmtId="21">
      <sharedItems containsSemiMixedTypes="0" containsNonDate="0" containsDate="1" containsString="0" minDate="1899-12-30T06:01:00" maxDate="1899-12-30T23:00:00"/>
    </cacheField>
    <cacheField name="customer_id" numFmtId="0">
      <sharedItems containsSemiMixedTypes="0" containsString="0" containsNumber="1" containsInteger="1" minValue="1" maxValue="155"/>
    </cacheField>
    <cacheField name="gender" numFmtId="0">
      <sharedItems count="2">
        <s v="Male"/>
        <s v="Female"/>
      </sharedItems>
    </cacheField>
    <cacheField name="age" numFmtId="0">
      <sharedItems containsSemiMixedTypes="0" containsString="0" containsNumber="1" containsInteger="1" minValue="0" maxValue="64" count="48">
        <n v="41"/>
        <n v="46"/>
        <n v="40"/>
        <n v="64"/>
        <n v="19"/>
        <n v="37"/>
        <n v="26"/>
        <n v="30"/>
        <n v="23"/>
        <n v="38"/>
        <n v="57"/>
        <n v="0"/>
        <n v="51"/>
        <n v="60"/>
        <n v="45"/>
        <n v="63"/>
        <n v="31"/>
        <n v="27"/>
        <n v="18"/>
        <n v="33"/>
        <n v="50"/>
        <n v="53"/>
        <n v="43"/>
        <n v="34"/>
        <n v="24"/>
        <n v="42"/>
        <n v="59"/>
        <n v="39"/>
        <n v="49"/>
        <n v="54"/>
        <n v="22"/>
        <n v="36"/>
        <n v="28"/>
        <n v="29"/>
        <n v="56"/>
        <n v="47"/>
        <n v="20"/>
        <n v="32"/>
        <n v="25"/>
        <n v="35"/>
        <n v="21"/>
        <n v="52"/>
        <n v="48"/>
        <n v="58"/>
        <n v="62"/>
        <n v="61"/>
        <n v="55"/>
        <n v="44"/>
      </sharedItems>
    </cacheField>
    <cacheField name="category" numFmtId="0">
      <sharedItems count="3">
        <s v="Clothing"/>
        <s v="Beauty"/>
        <s v="Electronics"/>
      </sharedItems>
    </cacheField>
    <cacheField name="quantiy" numFmtId="0">
      <sharedItems containsSemiMixedTypes="0" containsString="0" containsNumber="1" containsInteger="1" minValue="0" maxValue="4"/>
    </cacheField>
    <cacheField name="price_per_unit" numFmtId="0">
      <sharedItems containsSemiMixedTypes="0" containsString="0" containsNumber="1" containsInteger="1" minValue="0" maxValue="500"/>
    </cacheField>
    <cacheField name="cogs" numFmtId="0">
      <sharedItems containsSemiMixedTypes="0" containsString="0" containsNumber="1" minValue="0" maxValue="620"/>
    </cacheField>
    <cacheField name="total_sale" numFmtId="0">
      <sharedItems containsSemiMixedTypes="0" containsString="0" containsNumber="1" containsInteger="1" minValue="0" maxValue="2000"/>
    </cacheField>
    <cacheField name="Year" numFmtId="0">
      <sharedItems containsSemiMixedTypes="0" containsString="0" containsNumber="1" containsInteger="1" minValue="2022" maxValue="2023" count="2">
        <n v="2022"/>
        <n v="2023"/>
      </sharedItems>
    </cacheField>
    <cacheField name="Month" numFmtId="0">
      <sharedItems containsSemiMixedTypes="0" containsString="0" containsNumber="1" containsInteger="1" minValue="1" maxValue="12"/>
    </cacheField>
    <cacheField name="month_name" numFmtId="0">
      <sharedItems count="12">
        <s v="November"/>
        <s v="July"/>
        <s v="December"/>
        <s v="January"/>
        <s v="August"/>
        <s v="October"/>
        <s v="April"/>
        <s v="May"/>
        <s v="March"/>
        <s v="September"/>
        <s v="February"/>
        <s v="June"/>
      </sharedItems>
    </cacheField>
    <cacheField name="Day" numFmtId="0">
      <sharedItems containsSemiMixedTypes="0" containsString="0" containsNumber="1" containsInteger="1" minValue="1" maxValue="31"/>
    </cacheField>
    <cacheField name="day_name" numFmtId="0">
      <sharedItems count="7">
        <s v="Saturday"/>
        <s v="Monday"/>
        <s v="Thursday"/>
        <s v="Friday"/>
        <s v="Wednesday"/>
        <s v="Sunday"/>
        <s v="Tuesday"/>
      </sharedItems>
    </cacheField>
    <cacheField name="quarter" numFmtId="166">
      <sharedItems containsSemiMixedTypes="0" containsString="0" containsNumber="1" containsInteger="1" minValue="1" maxValue="4"/>
    </cacheField>
    <cacheField name="profit" numFmtId="0">
      <sharedItems containsSemiMixedTypes="0" containsString="0" containsNumber="1" minValue="-120" maxValue="1875"/>
    </cacheField>
    <cacheField name="profit_margin" numFmtId="0">
      <sharedItems containsString="0" containsBlank="1" containsNumber="1" minValue="-0.25" maxValue="0.9375"/>
    </cacheField>
    <cacheField name="high_value" numFmtId="0">
      <sharedItems containsSemiMixedTypes="0" containsString="0" containsNumber="1" containsInteger="1" minValue="0" maxValue="1"/>
    </cacheField>
    <cacheField name="Quarter_Label" numFmtId="166">
      <sharedItems containsSemiMixedTypes="0" containsString="0" containsNumber="1" containsInteger="1" minValue="1" maxValue="4" count="4">
        <n v="4"/>
        <n v="3"/>
        <n v="1"/>
        <n v="2"/>
      </sharedItems>
    </cacheField>
  </cacheFields>
  <extLst>
    <ext xmlns:x14="http://schemas.microsoft.com/office/spreadsheetml/2009/9/main" uri="{725AE2AE-9491-48be-B2B4-4EB974FC3084}">
      <x14:pivotCacheDefinition pivotCacheId="21143794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n v="180"/>
    <d v="2022-11-05T00:00:00"/>
    <d v="1899-12-30T10:47:00"/>
    <n v="117"/>
    <x v="0"/>
    <x v="0"/>
    <x v="0"/>
    <n v="3"/>
    <n v="300"/>
    <n v="129"/>
    <n v="900"/>
    <x v="0"/>
    <n v="11"/>
    <x v="0"/>
    <n v="5"/>
    <x v="0"/>
    <x v="0"/>
    <n v="771"/>
    <n v="0.85666666700000005"/>
    <n v="1"/>
  </r>
  <r>
    <n v="522"/>
    <d v="2022-07-09T00:00:00"/>
    <d v="1899-12-30T11:00:00"/>
    <n v="52"/>
    <x v="0"/>
    <x v="1"/>
    <x v="1"/>
    <n v="3"/>
    <n v="500"/>
    <n v="145"/>
    <n v="1500"/>
    <x v="0"/>
    <n v="7"/>
    <x v="1"/>
    <n v="9"/>
    <x v="0"/>
    <x v="1"/>
    <n v="1355"/>
    <n v="0.90333333299999996"/>
    <n v="1"/>
  </r>
  <r>
    <n v="559"/>
    <d v="2022-12-12T00:00:00"/>
    <d v="1899-12-30T10:48:00"/>
    <n v="5"/>
    <x v="1"/>
    <x v="2"/>
    <x v="0"/>
    <n v="4"/>
    <n v="300"/>
    <n v="84"/>
    <n v="1200"/>
    <x v="0"/>
    <n v="12"/>
    <x v="2"/>
    <n v="12"/>
    <x v="1"/>
    <x v="0"/>
    <n v="1116"/>
    <n v="0.93"/>
    <n v="1"/>
  </r>
  <r>
    <n v="1180"/>
    <d v="2022-01-06T00:00:00"/>
    <d v="1899-12-30T08:53:00"/>
    <n v="85"/>
    <x v="0"/>
    <x v="0"/>
    <x v="0"/>
    <n v="3"/>
    <n v="300"/>
    <n v="129"/>
    <n v="900"/>
    <x v="0"/>
    <n v="1"/>
    <x v="3"/>
    <n v="6"/>
    <x v="2"/>
    <x v="2"/>
    <n v="771"/>
    <n v="0.85666666700000005"/>
    <n v="1"/>
  </r>
  <r>
    <n v="1522"/>
    <d v="2022-11-14T00:00:00"/>
    <d v="1899-12-30T08:35:00"/>
    <n v="48"/>
    <x v="0"/>
    <x v="1"/>
    <x v="1"/>
    <n v="3"/>
    <n v="500"/>
    <n v="235"/>
    <n v="1500"/>
    <x v="0"/>
    <n v="11"/>
    <x v="0"/>
    <n v="14"/>
    <x v="1"/>
    <x v="0"/>
    <n v="1265"/>
    <n v="0.84333333300000002"/>
    <n v="1"/>
  </r>
  <r>
    <n v="1559"/>
    <d v="2022-08-20T00:00:00"/>
    <d v="1899-12-30T07:40:00"/>
    <n v="49"/>
    <x v="1"/>
    <x v="2"/>
    <x v="0"/>
    <n v="4"/>
    <n v="300"/>
    <n v="144"/>
    <n v="1200"/>
    <x v="0"/>
    <n v="8"/>
    <x v="4"/>
    <n v="20"/>
    <x v="0"/>
    <x v="1"/>
    <n v="1056"/>
    <n v="0.88"/>
    <n v="1"/>
  </r>
  <r>
    <n v="163"/>
    <d v="2022-10-31T00:00:00"/>
    <d v="1899-12-30T09:38:00"/>
    <n v="144"/>
    <x v="1"/>
    <x v="3"/>
    <x v="0"/>
    <n v="3"/>
    <n v="50"/>
    <n v="23"/>
    <n v="150"/>
    <x v="0"/>
    <n v="10"/>
    <x v="5"/>
    <n v="31"/>
    <x v="1"/>
    <x v="0"/>
    <n v="127"/>
    <n v="0.84666666700000004"/>
    <n v="1"/>
  </r>
  <r>
    <n v="303"/>
    <d v="2022-04-22T00:00:00"/>
    <d v="1899-12-30T11:09:00"/>
    <n v="54"/>
    <x v="0"/>
    <x v="4"/>
    <x v="2"/>
    <n v="3"/>
    <n v="30"/>
    <n v="14.7"/>
    <n v="90"/>
    <x v="0"/>
    <n v="4"/>
    <x v="6"/>
    <n v="22"/>
    <x v="3"/>
    <x v="3"/>
    <n v="75.3"/>
    <n v="0.83666666700000003"/>
    <n v="0"/>
  </r>
  <r>
    <n v="421"/>
    <d v="2022-04-08T00:00:00"/>
    <d v="1899-12-30T08:43:00"/>
    <n v="66"/>
    <x v="1"/>
    <x v="5"/>
    <x v="0"/>
    <n v="3"/>
    <n v="500"/>
    <n v="235"/>
    <n v="1500"/>
    <x v="0"/>
    <n v="4"/>
    <x v="6"/>
    <n v="8"/>
    <x v="3"/>
    <x v="3"/>
    <n v="1265"/>
    <n v="0.84333333300000002"/>
    <n v="1"/>
  </r>
  <r>
    <n v="979"/>
    <d v="2022-05-18T00:00:00"/>
    <d v="1899-12-30T10:18:00"/>
    <n v="6"/>
    <x v="1"/>
    <x v="4"/>
    <x v="1"/>
    <n v="1"/>
    <n v="25"/>
    <n v="10.5"/>
    <n v="25"/>
    <x v="0"/>
    <n v="5"/>
    <x v="7"/>
    <n v="18"/>
    <x v="4"/>
    <x v="3"/>
    <n v="14.5"/>
    <n v="0.57999999999999996"/>
    <n v="0"/>
  </r>
  <r>
    <n v="1163"/>
    <d v="2022-05-04T00:00:00"/>
    <d v="1899-12-30T10:52:00"/>
    <n v="120"/>
    <x v="1"/>
    <x v="3"/>
    <x v="0"/>
    <n v="3"/>
    <n v="50"/>
    <n v="27"/>
    <n v="150"/>
    <x v="0"/>
    <n v="5"/>
    <x v="7"/>
    <n v="4"/>
    <x v="4"/>
    <x v="3"/>
    <n v="123"/>
    <n v="0.82"/>
    <n v="1"/>
  </r>
  <r>
    <n v="1303"/>
    <d v="2022-03-19T00:00:00"/>
    <d v="1899-12-30T08:59:00"/>
    <n v="58"/>
    <x v="0"/>
    <x v="4"/>
    <x v="2"/>
    <n v="3"/>
    <n v="30"/>
    <n v="15"/>
    <n v="90"/>
    <x v="0"/>
    <n v="3"/>
    <x v="8"/>
    <n v="19"/>
    <x v="0"/>
    <x v="2"/>
    <n v="75"/>
    <n v="0.83333333300000001"/>
    <n v="0"/>
  </r>
  <r>
    <n v="1421"/>
    <d v="2022-01-17T00:00:00"/>
    <d v="1899-12-30T07:07:00"/>
    <n v="59"/>
    <x v="1"/>
    <x v="5"/>
    <x v="0"/>
    <n v="3"/>
    <n v="500"/>
    <n v="185"/>
    <n v="1500"/>
    <x v="0"/>
    <n v="1"/>
    <x v="3"/>
    <n v="17"/>
    <x v="1"/>
    <x v="2"/>
    <n v="1315"/>
    <n v="0.87666666699999996"/>
    <n v="1"/>
  </r>
  <r>
    <n v="1979"/>
    <d v="2022-08-17T00:00:00"/>
    <d v="1899-12-30T11:34:00"/>
    <n v="102"/>
    <x v="1"/>
    <x v="4"/>
    <x v="1"/>
    <n v="1"/>
    <n v="25"/>
    <n v="7.75"/>
    <n v="25"/>
    <x v="0"/>
    <n v="8"/>
    <x v="4"/>
    <n v="17"/>
    <x v="4"/>
    <x v="1"/>
    <n v="17.25"/>
    <n v="0.69"/>
    <n v="0"/>
  </r>
  <r>
    <n v="610"/>
    <d v="2022-12-18T00:00:00"/>
    <d v="1899-12-30T06:56:00"/>
    <n v="137"/>
    <x v="1"/>
    <x v="6"/>
    <x v="1"/>
    <n v="2"/>
    <n v="300"/>
    <n v="93"/>
    <n v="600"/>
    <x v="0"/>
    <n v="12"/>
    <x v="2"/>
    <n v="18"/>
    <x v="5"/>
    <x v="0"/>
    <n v="507"/>
    <n v="0.84499999999999997"/>
    <n v="1"/>
  </r>
  <r>
    <n v="1610"/>
    <d v="2022-11-23T00:00:00"/>
    <d v="1899-12-30T10:18:00"/>
    <n v="1"/>
    <x v="1"/>
    <x v="6"/>
    <x v="1"/>
    <n v="2"/>
    <n v="300"/>
    <n v="102"/>
    <n v="600"/>
    <x v="0"/>
    <n v="11"/>
    <x v="0"/>
    <n v="23"/>
    <x v="4"/>
    <x v="0"/>
    <n v="498"/>
    <n v="0.83"/>
    <n v="1"/>
  </r>
  <r>
    <n v="32"/>
    <d v="2022-07-16T00:00:00"/>
    <d v="1899-12-30T09:11:00"/>
    <n v="150"/>
    <x v="0"/>
    <x v="7"/>
    <x v="1"/>
    <n v="3"/>
    <n v="30"/>
    <n v="8.4"/>
    <n v="90"/>
    <x v="0"/>
    <n v="7"/>
    <x v="1"/>
    <n v="16"/>
    <x v="0"/>
    <x v="1"/>
    <n v="81.599999999999994"/>
    <n v="0.90666666699999998"/>
    <n v="0"/>
  </r>
  <r>
    <n v="231"/>
    <d v="2022-07-09T00:00:00"/>
    <d v="1899-12-30T07:02:00"/>
    <n v="50"/>
    <x v="1"/>
    <x v="8"/>
    <x v="0"/>
    <n v="3"/>
    <n v="50"/>
    <n v="26.5"/>
    <n v="150"/>
    <x v="0"/>
    <n v="7"/>
    <x v="1"/>
    <n v="9"/>
    <x v="0"/>
    <x v="1"/>
    <n v="123.5"/>
    <n v="0.823333333"/>
    <n v="1"/>
  </r>
  <r>
    <n v="683"/>
    <d v="2022-03-06T00:00:00"/>
    <d v="1899-12-30T10:22:00"/>
    <n v="82"/>
    <x v="0"/>
    <x v="9"/>
    <x v="1"/>
    <n v="2"/>
    <n v="500"/>
    <n v="175"/>
    <n v="1000"/>
    <x v="0"/>
    <n v="3"/>
    <x v="8"/>
    <n v="6"/>
    <x v="5"/>
    <x v="2"/>
    <n v="825"/>
    <n v="0.82499999999999996"/>
    <n v="1"/>
  </r>
  <r>
    <n v="1032"/>
    <d v="2022-04-01T00:00:00"/>
    <d v="1899-12-30T08:15:00"/>
    <n v="1"/>
    <x v="0"/>
    <x v="7"/>
    <x v="1"/>
    <n v="3"/>
    <n v="30"/>
    <n v="10.5"/>
    <n v="90"/>
    <x v="0"/>
    <n v="4"/>
    <x v="6"/>
    <n v="1"/>
    <x v="3"/>
    <x v="3"/>
    <n v="79.5"/>
    <n v="0.88333333300000005"/>
    <n v="0"/>
  </r>
  <r>
    <n v="1231"/>
    <d v="2022-01-29T00:00:00"/>
    <d v="1899-12-30T07:05:00"/>
    <n v="12"/>
    <x v="1"/>
    <x v="8"/>
    <x v="0"/>
    <n v="3"/>
    <n v="50"/>
    <n v="23"/>
    <n v="150"/>
    <x v="0"/>
    <n v="1"/>
    <x v="3"/>
    <n v="29"/>
    <x v="0"/>
    <x v="2"/>
    <n v="127"/>
    <n v="0.84666666700000004"/>
    <n v="1"/>
  </r>
  <r>
    <n v="1683"/>
    <d v="2022-05-04T00:00:00"/>
    <d v="1899-12-30T07:19:00"/>
    <n v="98"/>
    <x v="0"/>
    <x v="9"/>
    <x v="1"/>
    <n v="2"/>
    <n v="500"/>
    <n v="220"/>
    <n v="1000"/>
    <x v="0"/>
    <n v="5"/>
    <x v="7"/>
    <n v="4"/>
    <x v="4"/>
    <x v="3"/>
    <n v="780"/>
    <n v="0.78"/>
    <n v="1"/>
  </r>
  <r>
    <n v="367"/>
    <d v="2022-12-30T00:00:00"/>
    <d v="1899-12-30T07:03:00"/>
    <n v="123"/>
    <x v="1"/>
    <x v="10"/>
    <x v="2"/>
    <n v="1"/>
    <n v="50"/>
    <n v="18"/>
    <n v="50"/>
    <x v="0"/>
    <n v="12"/>
    <x v="2"/>
    <n v="30"/>
    <x v="3"/>
    <x v="0"/>
    <n v="32"/>
    <n v="0.64"/>
    <n v="0"/>
  </r>
  <r>
    <n v="391"/>
    <d v="2022-03-25T00:00:00"/>
    <d v="1899-12-30T07:37:00"/>
    <n v="68"/>
    <x v="0"/>
    <x v="4"/>
    <x v="1"/>
    <n v="2"/>
    <n v="25"/>
    <n v="6.25"/>
    <n v="50"/>
    <x v="0"/>
    <n v="3"/>
    <x v="8"/>
    <n v="25"/>
    <x v="3"/>
    <x v="2"/>
    <n v="43.75"/>
    <n v="0.875"/>
    <n v="0"/>
  </r>
  <r>
    <n v="432"/>
    <d v="2022-03-10T00:00:00"/>
    <d v="1899-12-30T11:31:00"/>
    <n v="17"/>
    <x v="1"/>
    <x v="11"/>
    <x v="2"/>
    <n v="2"/>
    <n v="500"/>
    <n v="190"/>
    <n v="1000"/>
    <x v="0"/>
    <n v="3"/>
    <x v="8"/>
    <n v="10"/>
    <x v="2"/>
    <x v="2"/>
    <n v="810"/>
    <n v="0.81"/>
    <n v="1"/>
  </r>
  <r>
    <n v="1367"/>
    <d v="2022-04-15T00:00:00"/>
    <d v="1899-12-30T11:38:00"/>
    <n v="16"/>
    <x v="1"/>
    <x v="11"/>
    <x v="2"/>
    <n v="1"/>
    <n v="50"/>
    <n v="15.5"/>
    <n v="50"/>
    <x v="0"/>
    <n v="4"/>
    <x v="6"/>
    <n v="15"/>
    <x v="3"/>
    <x v="3"/>
    <n v="34.5"/>
    <n v="0.69"/>
    <n v="0"/>
  </r>
  <r>
    <n v="1391"/>
    <d v="2022-03-01T00:00:00"/>
    <d v="1899-12-30T11:29:00"/>
    <n v="130"/>
    <x v="0"/>
    <x v="11"/>
    <x v="1"/>
    <n v="2"/>
    <n v="25"/>
    <n v="9.25"/>
    <n v="50"/>
    <x v="0"/>
    <n v="3"/>
    <x v="8"/>
    <n v="1"/>
    <x v="6"/>
    <x v="2"/>
    <n v="40.75"/>
    <n v="0.81499999999999995"/>
    <n v="0"/>
  </r>
  <r>
    <n v="1432"/>
    <d v="2022-12-25T00:00:00"/>
    <d v="1899-12-30T06:24:00"/>
    <n v="67"/>
    <x v="1"/>
    <x v="11"/>
    <x v="2"/>
    <n v="2"/>
    <n v="500"/>
    <n v="245"/>
    <n v="1000"/>
    <x v="0"/>
    <n v="12"/>
    <x v="2"/>
    <n v="25"/>
    <x v="5"/>
    <x v="0"/>
    <n v="755"/>
    <n v="0.755"/>
    <n v="1"/>
  </r>
  <r>
    <n v="150"/>
    <d v="2022-04-13T00:00:00"/>
    <d v="1899-12-30T08:25:00"/>
    <n v="89"/>
    <x v="1"/>
    <x v="11"/>
    <x v="2"/>
    <n v="4"/>
    <n v="30"/>
    <n v="16.2"/>
    <n v="120"/>
    <x v="0"/>
    <n v="4"/>
    <x v="6"/>
    <n v="13"/>
    <x v="4"/>
    <x v="3"/>
    <n v="103.8"/>
    <n v="0.86499999999999999"/>
    <n v="0"/>
  </r>
  <r>
    <n v="845"/>
    <d v="2022-10-27T00:00:00"/>
    <d v="1899-12-30T10:12:00"/>
    <n v="25"/>
    <x v="0"/>
    <x v="11"/>
    <x v="0"/>
    <n v="1"/>
    <n v="500"/>
    <n v="145"/>
    <n v="500"/>
    <x v="0"/>
    <n v="10"/>
    <x v="5"/>
    <n v="27"/>
    <x v="2"/>
    <x v="0"/>
    <n v="355"/>
    <n v="0.71"/>
    <n v="1"/>
  </r>
  <r>
    <n v="1150"/>
    <d v="2022-08-22T00:00:00"/>
    <d v="1899-12-30T10:04:00"/>
    <n v="77"/>
    <x v="1"/>
    <x v="11"/>
    <x v="2"/>
    <n v="4"/>
    <n v="30"/>
    <n v="10.199999999999999"/>
    <n v="120"/>
    <x v="0"/>
    <n v="8"/>
    <x v="4"/>
    <n v="22"/>
    <x v="1"/>
    <x v="1"/>
    <n v="109.8"/>
    <n v="0.91500000000000004"/>
    <n v="0"/>
  </r>
  <r>
    <n v="1845"/>
    <d v="2022-05-24T00:00:00"/>
    <d v="1899-12-30T07:06:00"/>
    <n v="94"/>
    <x v="0"/>
    <x v="11"/>
    <x v="0"/>
    <n v="1"/>
    <n v="500"/>
    <n v="185"/>
    <n v="500"/>
    <x v="0"/>
    <n v="5"/>
    <x v="7"/>
    <n v="24"/>
    <x v="6"/>
    <x v="3"/>
    <n v="315"/>
    <n v="0.63"/>
    <n v="1"/>
  </r>
  <r>
    <n v="797"/>
    <d v="2022-09-16T00:00:00"/>
    <d v="1899-12-30T06:38:00"/>
    <n v="116"/>
    <x v="0"/>
    <x v="11"/>
    <x v="0"/>
    <n v="3"/>
    <n v="25"/>
    <n v="10.75"/>
    <n v="75"/>
    <x v="0"/>
    <n v="9"/>
    <x v="9"/>
    <n v="16"/>
    <x v="3"/>
    <x v="1"/>
    <n v="64.25"/>
    <n v="0.85666666700000005"/>
    <n v="0"/>
  </r>
  <r>
    <n v="921"/>
    <d v="2022-09-28T00:00:00"/>
    <d v="1899-12-30T09:34:00"/>
    <n v="101"/>
    <x v="0"/>
    <x v="11"/>
    <x v="2"/>
    <n v="3"/>
    <n v="25"/>
    <n v="8"/>
    <n v="75"/>
    <x v="0"/>
    <n v="9"/>
    <x v="9"/>
    <n v="28"/>
    <x v="4"/>
    <x v="1"/>
    <n v="67"/>
    <n v="0.89333333299999995"/>
    <n v="0"/>
  </r>
  <r>
    <n v="1797"/>
    <d v="2022-04-16T00:00:00"/>
    <d v="1899-12-30T11:47:00"/>
    <n v="147"/>
    <x v="0"/>
    <x v="2"/>
    <x v="0"/>
    <n v="3"/>
    <n v="25"/>
    <n v="12.25"/>
    <n v="75"/>
    <x v="0"/>
    <n v="4"/>
    <x v="6"/>
    <n v="16"/>
    <x v="0"/>
    <x v="3"/>
    <n v="62.75"/>
    <n v="0.83666666700000003"/>
    <n v="0"/>
  </r>
  <r>
    <n v="1921"/>
    <d v="2022-02-08T00:00:00"/>
    <d v="1899-12-30T07:01:00"/>
    <n v="77"/>
    <x v="0"/>
    <x v="12"/>
    <x v="2"/>
    <n v="3"/>
    <n v="25"/>
    <n v="7.5"/>
    <n v="75"/>
    <x v="0"/>
    <n v="2"/>
    <x v="10"/>
    <n v="8"/>
    <x v="6"/>
    <x v="2"/>
    <n v="67.5"/>
    <n v="0.9"/>
    <n v="0"/>
  </r>
  <r>
    <n v="291"/>
    <d v="2022-11-22T00:00:00"/>
    <d v="1899-12-30T08:29:00"/>
    <n v="15"/>
    <x v="0"/>
    <x v="13"/>
    <x v="0"/>
    <n v="2"/>
    <n v="300"/>
    <n v="126"/>
    <n v="600"/>
    <x v="0"/>
    <n v="11"/>
    <x v="0"/>
    <n v="22"/>
    <x v="6"/>
    <x v="0"/>
    <n v="474"/>
    <n v="0.79"/>
    <n v="1"/>
  </r>
  <r>
    <n v="907"/>
    <d v="2022-09-02T00:00:00"/>
    <d v="1899-12-30T06:16:00"/>
    <n v="145"/>
    <x v="1"/>
    <x v="14"/>
    <x v="2"/>
    <n v="1"/>
    <n v="25"/>
    <n v="8.5"/>
    <n v="25"/>
    <x v="0"/>
    <n v="9"/>
    <x v="9"/>
    <n v="2"/>
    <x v="3"/>
    <x v="1"/>
    <n v="16.5"/>
    <n v="0.66"/>
    <n v="0"/>
  </r>
  <r>
    <n v="1291"/>
    <d v="2022-04-04T00:00:00"/>
    <d v="1899-12-30T11:19:00"/>
    <n v="72"/>
    <x v="0"/>
    <x v="13"/>
    <x v="0"/>
    <n v="2"/>
    <n v="300"/>
    <n v="153"/>
    <n v="600"/>
    <x v="0"/>
    <n v="4"/>
    <x v="6"/>
    <n v="4"/>
    <x v="1"/>
    <x v="3"/>
    <n v="447"/>
    <n v="0.745"/>
    <n v="1"/>
  </r>
  <r>
    <n v="1907"/>
    <d v="2022-11-17T00:00:00"/>
    <d v="1899-12-30T11:21:00"/>
    <n v="115"/>
    <x v="1"/>
    <x v="14"/>
    <x v="2"/>
    <n v="1"/>
    <n v="25"/>
    <n v="9"/>
    <n v="25"/>
    <x v="0"/>
    <n v="11"/>
    <x v="0"/>
    <n v="17"/>
    <x v="2"/>
    <x v="0"/>
    <n v="16"/>
    <n v="0.64"/>
    <n v="0"/>
  </r>
  <r>
    <n v="860"/>
    <d v="2022-04-11T00:00:00"/>
    <d v="1899-12-30T08:58:00"/>
    <n v="85"/>
    <x v="0"/>
    <x v="15"/>
    <x v="0"/>
    <n v="4"/>
    <n v="50"/>
    <n v="16"/>
    <n v="200"/>
    <x v="0"/>
    <n v="4"/>
    <x v="6"/>
    <n v="11"/>
    <x v="1"/>
    <x v="3"/>
    <n v="184"/>
    <n v="0.92"/>
    <n v="1"/>
  </r>
  <r>
    <n v="1860"/>
    <d v="2022-03-12T00:00:00"/>
    <d v="1899-12-30T11:21:00"/>
    <n v="57"/>
    <x v="0"/>
    <x v="15"/>
    <x v="0"/>
    <n v="4"/>
    <n v="50"/>
    <n v="18"/>
    <n v="200"/>
    <x v="0"/>
    <n v="3"/>
    <x v="8"/>
    <n v="12"/>
    <x v="0"/>
    <x v="2"/>
    <n v="182"/>
    <n v="0.91"/>
    <n v="1"/>
  </r>
  <r>
    <n v="184"/>
    <d v="2022-02-13T00:00:00"/>
    <d v="1899-12-30T06:44:00"/>
    <n v="128"/>
    <x v="0"/>
    <x v="16"/>
    <x v="2"/>
    <n v="4"/>
    <n v="50"/>
    <n v="17"/>
    <n v="200"/>
    <x v="0"/>
    <n v="2"/>
    <x v="10"/>
    <n v="13"/>
    <x v="5"/>
    <x v="2"/>
    <n v="183"/>
    <n v="0.91500000000000004"/>
    <n v="1"/>
  </r>
  <r>
    <n v="734"/>
    <d v="2022-03-12T00:00:00"/>
    <d v="1899-12-30T08:54:00"/>
    <n v="77"/>
    <x v="1"/>
    <x v="17"/>
    <x v="0"/>
    <n v="1"/>
    <n v="30"/>
    <n v="15.6"/>
    <n v="30"/>
    <x v="0"/>
    <n v="3"/>
    <x v="8"/>
    <n v="12"/>
    <x v="0"/>
    <x v="2"/>
    <n v="14.4"/>
    <n v="0.48"/>
    <n v="0"/>
  </r>
  <r>
    <n v="1184"/>
    <d v="2022-02-12T00:00:00"/>
    <d v="1899-12-30T08:28:00"/>
    <n v="23"/>
    <x v="0"/>
    <x v="16"/>
    <x v="2"/>
    <n v="4"/>
    <n v="50"/>
    <n v="27.5"/>
    <n v="200"/>
    <x v="0"/>
    <n v="2"/>
    <x v="10"/>
    <n v="12"/>
    <x v="0"/>
    <x v="2"/>
    <n v="172.5"/>
    <n v="0.86250000000000004"/>
    <n v="1"/>
  </r>
  <r>
    <n v="1734"/>
    <d v="2022-02-28T00:00:00"/>
    <d v="1899-12-30T08:58:00"/>
    <n v="72"/>
    <x v="1"/>
    <x v="17"/>
    <x v="0"/>
    <n v="1"/>
    <n v="30"/>
    <n v="14.4"/>
    <n v="30"/>
    <x v="0"/>
    <n v="2"/>
    <x v="10"/>
    <n v="28"/>
    <x v="1"/>
    <x v="2"/>
    <n v="15.6"/>
    <n v="0.52"/>
    <n v="0"/>
  </r>
  <r>
    <n v="225"/>
    <d v="2022-03-05T00:00:00"/>
    <d v="1899-12-30T07:37:00"/>
    <n v="85"/>
    <x v="1"/>
    <x v="10"/>
    <x v="1"/>
    <n v="4"/>
    <n v="25"/>
    <n v="12.75"/>
    <n v="100"/>
    <x v="0"/>
    <n v="3"/>
    <x v="8"/>
    <n v="5"/>
    <x v="0"/>
    <x v="2"/>
    <n v="87.25"/>
    <n v="0.87250000000000005"/>
    <n v="0"/>
  </r>
  <r>
    <n v="679"/>
    <d v="2022-08-26T00:00:00"/>
    <d v="1899-12-30T08:59:00"/>
    <n v="64"/>
    <x v="1"/>
    <x v="18"/>
    <x v="1"/>
    <n v="0"/>
    <n v="0"/>
    <n v="0"/>
    <n v="0"/>
    <x v="0"/>
    <n v="8"/>
    <x v="4"/>
    <n v="26"/>
    <x v="3"/>
    <x v="1"/>
    <n v="0"/>
    <m/>
    <n v="0"/>
  </r>
  <r>
    <n v="746"/>
    <d v="2022-07-05T00:00:00"/>
    <d v="1899-12-30T11:33:00"/>
    <n v="42"/>
    <x v="1"/>
    <x v="19"/>
    <x v="0"/>
    <n v="0"/>
    <n v="0"/>
    <n v="0"/>
    <n v="0"/>
    <x v="0"/>
    <n v="7"/>
    <x v="1"/>
    <n v="5"/>
    <x v="6"/>
    <x v="1"/>
    <n v="0"/>
    <m/>
    <n v="0"/>
  </r>
  <r>
    <n v="1225"/>
    <d v="2022-02-02T00:00:00"/>
    <d v="1899-12-30T09:51:00"/>
    <n v="137"/>
    <x v="1"/>
    <x v="10"/>
    <x v="1"/>
    <n v="0"/>
    <n v="0"/>
    <n v="0"/>
    <n v="0"/>
    <x v="0"/>
    <n v="2"/>
    <x v="10"/>
    <n v="2"/>
    <x v="4"/>
    <x v="2"/>
    <n v="0"/>
    <m/>
    <n v="0"/>
  </r>
  <r>
    <n v="1679"/>
    <d v="2022-09-23T00:00:00"/>
    <d v="1899-12-30T08:08:00"/>
    <n v="71"/>
    <x v="1"/>
    <x v="18"/>
    <x v="1"/>
    <n v="3"/>
    <n v="30"/>
    <n v="15.3"/>
    <n v="90"/>
    <x v="0"/>
    <n v="9"/>
    <x v="9"/>
    <n v="23"/>
    <x v="3"/>
    <x v="1"/>
    <n v="74.7"/>
    <n v="0.83"/>
    <n v="0"/>
  </r>
  <r>
    <n v="1746"/>
    <d v="2022-06-13T00:00:00"/>
    <d v="1899-12-30T07:59:00"/>
    <n v="88"/>
    <x v="1"/>
    <x v="19"/>
    <x v="0"/>
    <n v="3"/>
    <n v="30"/>
    <n v="10.8"/>
    <n v="90"/>
    <x v="0"/>
    <n v="6"/>
    <x v="11"/>
    <n v="13"/>
    <x v="1"/>
    <x v="3"/>
    <n v="79.2"/>
    <n v="0.88"/>
    <n v="0"/>
  </r>
  <r>
    <n v="3"/>
    <d v="2022-06-14T00:00:00"/>
    <d v="1899-12-30T07:08:00"/>
    <n v="114"/>
    <x v="0"/>
    <x v="20"/>
    <x v="2"/>
    <n v="1"/>
    <n v="30"/>
    <n v="8.1"/>
    <n v="30"/>
    <x v="0"/>
    <n v="6"/>
    <x v="11"/>
    <n v="14"/>
    <x v="6"/>
    <x v="3"/>
    <n v="21.9"/>
    <n v="0.73"/>
    <n v="0"/>
  </r>
  <r>
    <n v="464"/>
    <d v="2022-03-06T00:00:00"/>
    <d v="1899-12-30T11:13:00"/>
    <n v="24"/>
    <x v="0"/>
    <x v="9"/>
    <x v="2"/>
    <n v="2"/>
    <n v="300"/>
    <n v="75"/>
    <n v="600"/>
    <x v="0"/>
    <n v="3"/>
    <x v="8"/>
    <n v="6"/>
    <x v="5"/>
    <x v="2"/>
    <n v="525"/>
    <n v="0.875"/>
    <n v="1"/>
  </r>
  <r>
    <n v="484"/>
    <d v="2022-03-13T00:00:00"/>
    <d v="1899-12-30T07:52:00"/>
    <n v="135"/>
    <x v="1"/>
    <x v="4"/>
    <x v="0"/>
    <n v="4"/>
    <n v="300"/>
    <n v="75"/>
    <n v="1200"/>
    <x v="0"/>
    <n v="3"/>
    <x v="8"/>
    <n v="13"/>
    <x v="5"/>
    <x v="2"/>
    <n v="1125"/>
    <n v="0.9375"/>
    <n v="1"/>
  </r>
  <r>
    <n v="591"/>
    <d v="2022-03-21T00:00:00"/>
    <d v="1899-12-30T08:38:00"/>
    <n v="94"/>
    <x v="0"/>
    <x v="21"/>
    <x v="2"/>
    <n v="4"/>
    <n v="25"/>
    <n v="6.5"/>
    <n v="100"/>
    <x v="0"/>
    <n v="3"/>
    <x v="8"/>
    <n v="21"/>
    <x v="1"/>
    <x v="2"/>
    <n v="93.5"/>
    <n v="0.93500000000000005"/>
    <n v="0"/>
  </r>
  <r>
    <n v="1003"/>
    <d v="2022-01-26T00:00:00"/>
    <d v="1899-12-30T07:59:00"/>
    <n v="80"/>
    <x v="0"/>
    <x v="20"/>
    <x v="2"/>
    <n v="1"/>
    <n v="30"/>
    <n v="15.9"/>
    <n v="30"/>
    <x v="0"/>
    <n v="1"/>
    <x v="3"/>
    <n v="26"/>
    <x v="4"/>
    <x v="2"/>
    <n v="14.1"/>
    <n v="0.47"/>
    <n v="0"/>
  </r>
  <r>
    <n v="1464"/>
    <d v="2022-11-13T00:00:00"/>
    <d v="1899-12-30T10:06:00"/>
    <n v="80"/>
    <x v="0"/>
    <x v="9"/>
    <x v="2"/>
    <n v="2"/>
    <n v="300"/>
    <n v="126"/>
    <n v="600"/>
    <x v="0"/>
    <n v="11"/>
    <x v="0"/>
    <n v="13"/>
    <x v="5"/>
    <x v="0"/>
    <n v="474"/>
    <n v="0.79"/>
    <n v="1"/>
  </r>
  <r>
    <n v="1484"/>
    <d v="2022-11-23T00:00:00"/>
    <d v="1899-12-30T09:29:00"/>
    <n v="22"/>
    <x v="1"/>
    <x v="4"/>
    <x v="0"/>
    <n v="4"/>
    <n v="300"/>
    <n v="147"/>
    <n v="1200"/>
    <x v="0"/>
    <n v="11"/>
    <x v="0"/>
    <n v="23"/>
    <x v="4"/>
    <x v="0"/>
    <n v="1053"/>
    <n v="0.87749999999999995"/>
    <n v="1"/>
  </r>
  <r>
    <n v="1591"/>
    <d v="2022-09-29T00:00:00"/>
    <d v="1899-12-30T11:00:00"/>
    <n v="62"/>
    <x v="0"/>
    <x v="21"/>
    <x v="2"/>
    <n v="4"/>
    <n v="25"/>
    <n v="7"/>
    <n v="100"/>
    <x v="0"/>
    <n v="9"/>
    <x v="9"/>
    <n v="29"/>
    <x v="2"/>
    <x v="1"/>
    <n v="93"/>
    <n v="0.93"/>
    <n v="0"/>
  </r>
  <r>
    <n v="21"/>
    <d v="2022-07-11T00:00:00"/>
    <d v="1899-12-30T07:33:00"/>
    <n v="59"/>
    <x v="1"/>
    <x v="20"/>
    <x v="1"/>
    <n v="1"/>
    <n v="500"/>
    <n v="275"/>
    <n v="500"/>
    <x v="0"/>
    <n v="7"/>
    <x v="1"/>
    <n v="11"/>
    <x v="1"/>
    <x v="1"/>
    <n v="225"/>
    <n v="0.45"/>
    <n v="1"/>
  </r>
  <r>
    <n v="708"/>
    <d v="2022-04-06T00:00:00"/>
    <d v="1899-12-30T08:38:00"/>
    <n v="62"/>
    <x v="1"/>
    <x v="22"/>
    <x v="1"/>
    <n v="3"/>
    <n v="300"/>
    <n v="87"/>
    <n v="900"/>
    <x v="0"/>
    <n v="4"/>
    <x v="6"/>
    <n v="6"/>
    <x v="4"/>
    <x v="3"/>
    <n v="813"/>
    <n v="0.90333333299999996"/>
    <n v="1"/>
  </r>
  <r>
    <n v="713"/>
    <d v="2022-04-16T00:00:00"/>
    <d v="1899-12-30T11:43:00"/>
    <n v="39"/>
    <x v="0"/>
    <x v="23"/>
    <x v="1"/>
    <n v="3"/>
    <n v="25"/>
    <n v="11.25"/>
    <n v="75"/>
    <x v="0"/>
    <n v="4"/>
    <x v="6"/>
    <n v="16"/>
    <x v="0"/>
    <x v="3"/>
    <n v="63.75"/>
    <n v="0.85"/>
    <n v="0"/>
  </r>
  <r>
    <n v="768"/>
    <d v="2022-06-27T00:00:00"/>
    <d v="1899-12-30T06:50:00"/>
    <n v="58"/>
    <x v="1"/>
    <x v="24"/>
    <x v="1"/>
    <n v="3"/>
    <n v="25"/>
    <n v="10.5"/>
    <n v="75"/>
    <x v="0"/>
    <n v="6"/>
    <x v="11"/>
    <n v="27"/>
    <x v="1"/>
    <x v="3"/>
    <n v="64.5"/>
    <n v="0.86"/>
    <n v="0"/>
  </r>
  <r>
    <n v="1021"/>
    <d v="2022-06-11T00:00:00"/>
    <d v="1899-12-30T10:19:00"/>
    <n v="44"/>
    <x v="1"/>
    <x v="20"/>
    <x v="1"/>
    <n v="1"/>
    <n v="500"/>
    <n v="155"/>
    <n v="500"/>
    <x v="0"/>
    <n v="6"/>
    <x v="11"/>
    <n v="11"/>
    <x v="0"/>
    <x v="3"/>
    <n v="345"/>
    <n v="0.69"/>
    <n v="1"/>
  </r>
  <r>
    <n v="1708"/>
    <d v="2022-02-08T00:00:00"/>
    <d v="1899-12-30T07:47:00"/>
    <n v="41"/>
    <x v="1"/>
    <x v="22"/>
    <x v="1"/>
    <n v="3"/>
    <n v="300"/>
    <n v="162"/>
    <n v="900"/>
    <x v="0"/>
    <n v="2"/>
    <x v="10"/>
    <n v="8"/>
    <x v="6"/>
    <x v="2"/>
    <n v="738"/>
    <n v="0.82"/>
    <n v="1"/>
  </r>
  <r>
    <n v="1713"/>
    <d v="2022-10-03T00:00:00"/>
    <d v="1899-12-30T10:10:00"/>
    <n v="90"/>
    <x v="0"/>
    <x v="23"/>
    <x v="1"/>
    <n v="3"/>
    <n v="25"/>
    <n v="10.75"/>
    <n v="75"/>
    <x v="0"/>
    <n v="10"/>
    <x v="5"/>
    <n v="3"/>
    <x v="1"/>
    <x v="0"/>
    <n v="64.25"/>
    <n v="0.85666666700000005"/>
    <n v="0"/>
  </r>
  <r>
    <n v="1768"/>
    <d v="2022-07-31T00:00:00"/>
    <d v="1899-12-30T09:52:00"/>
    <n v="85"/>
    <x v="1"/>
    <x v="24"/>
    <x v="1"/>
    <n v="3"/>
    <n v="25"/>
    <n v="8.75"/>
    <n v="75"/>
    <x v="0"/>
    <n v="7"/>
    <x v="1"/>
    <n v="31"/>
    <x v="5"/>
    <x v="1"/>
    <n v="66.25"/>
    <n v="0.88333333300000005"/>
    <n v="0"/>
  </r>
  <r>
    <n v="499"/>
    <d v="2022-04-03T00:00:00"/>
    <d v="1899-12-30T10:52:00"/>
    <n v="15"/>
    <x v="0"/>
    <x v="1"/>
    <x v="1"/>
    <n v="2"/>
    <n v="30"/>
    <n v="16.5"/>
    <n v="60"/>
    <x v="0"/>
    <n v="4"/>
    <x v="6"/>
    <n v="3"/>
    <x v="5"/>
    <x v="3"/>
    <n v="43.5"/>
    <n v="0.72499999999999998"/>
    <n v="0"/>
  </r>
  <r>
    <n v="697"/>
    <d v="2022-12-25T00:00:00"/>
    <d v="1899-12-30T07:52:00"/>
    <n v="152"/>
    <x v="0"/>
    <x v="21"/>
    <x v="0"/>
    <n v="1"/>
    <n v="500"/>
    <n v="200"/>
    <n v="500"/>
    <x v="0"/>
    <n v="12"/>
    <x v="2"/>
    <n v="25"/>
    <x v="5"/>
    <x v="0"/>
    <n v="300"/>
    <n v="0.6"/>
    <n v="1"/>
  </r>
  <r>
    <n v="831"/>
    <d v="2022-11-30T00:00:00"/>
    <d v="1899-12-30T11:49:00"/>
    <n v="149"/>
    <x v="0"/>
    <x v="17"/>
    <x v="2"/>
    <n v="4"/>
    <n v="25"/>
    <n v="13.75"/>
    <n v="100"/>
    <x v="0"/>
    <n v="11"/>
    <x v="0"/>
    <n v="30"/>
    <x v="4"/>
    <x v="0"/>
    <n v="86.25"/>
    <n v="0.86250000000000004"/>
    <n v="0"/>
  </r>
  <r>
    <n v="1499"/>
    <d v="2022-09-23T00:00:00"/>
    <d v="1899-12-30T09:46:00"/>
    <n v="3"/>
    <x v="0"/>
    <x v="1"/>
    <x v="1"/>
    <n v="2"/>
    <n v="30"/>
    <n v="11.7"/>
    <n v="60"/>
    <x v="0"/>
    <n v="9"/>
    <x v="9"/>
    <n v="23"/>
    <x v="3"/>
    <x v="1"/>
    <n v="48.3"/>
    <n v="0.80500000000000005"/>
    <n v="0"/>
  </r>
  <r>
    <n v="1697"/>
    <d v="2022-12-18T00:00:00"/>
    <d v="1899-12-30T08:22:00"/>
    <n v="54"/>
    <x v="0"/>
    <x v="21"/>
    <x v="0"/>
    <n v="1"/>
    <n v="500"/>
    <n v="265"/>
    <n v="500"/>
    <x v="0"/>
    <n v="12"/>
    <x v="2"/>
    <n v="18"/>
    <x v="5"/>
    <x v="0"/>
    <n v="235"/>
    <n v="0.47"/>
    <n v="1"/>
  </r>
  <r>
    <n v="1831"/>
    <d v="2022-03-26T00:00:00"/>
    <d v="1899-12-30T10:54:00"/>
    <n v="80"/>
    <x v="0"/>
    <x v="17"/>
    <x v="2"/>
    <n v="4"/>
    <n v="25"/>
    <n v="6.5"/>
    <n v="100"/>
    <x v="0"/>
    <n v="3"/>
    <x v="8"/>
    <n v="26"/>
    <x v="0"/>
    <x v="2"/>
    <n v="93.5"/>
    <n v="0.93500000000000005"/>
    <n v="0"/>
  </r>
  <r>
    <n v="15"/>
    <d v="2022-07-01T00:00:00"/>
    <d v="1899-12-30T11:50:00"/>
    <n v="75"/>
    <x v="1"/>
    <x v="25"/>
    <x v="2"/>
    <n v="4"/>
    <n v="500"/>
    <n v="210"/>
    <n v="2000"/>
    <x v="0"/>
    <n v="7"/>
    <x v="1"/>
    <n v="1"/>
    <x v="3"/>
    <x v="1"/>
    <n v="1790"/>
    <n v="0.89500000000000002"/>
    <n v="1"/>
  </r>
  <r>
    <n v="743"/>
    <d v="2022-08-07T00:00:00"/>
    <d v="1899-12-30T07:54:00"/>
    <n v="55"/>
    <x v="1"/>
    <x v="23"/>
    <x v="1"/>
    <n v="4"/>
    <n v="500"/>
    <n v="260"/>
    <n v="2000"/>
    <x v="0"/>
    <n v="8"/>
    <x v="4"/>
    <n v="7"/>
    <x v="5"/>
    <x v="1"/>
    <n v="1740"/>
    <n v="0.87"/>
    <n v="1"/>
  </r>
  <r>
    <n v="1015"/>
    <d v="2022-03-09T00:00:00"/>
    <d v="1899-12-30T11:53:00"/>
    <n v="94"/>
    <x v="1"/>
    <x v="25"/>
    <x v="2"/>
    <n v="4"/>
    <n v="500"/>
    <n v="200"/>
    <n v="2000"/>
    <x v="0"/>
    <n v="3"/>
    <x v="8"/>
    <n v="9"/>
    <x v="4"/>
    <x v="2"/>
    <n v="1800"/>
    <n v="0.9"/>
    <n v="1"/>
  </r>
  <r>
    <n v="1743"/>
    <d v="2022-10-26T00:00:00"/>
    <d v="1899-12-30T09:37:00"/>
    <n v="47"/>
    <x v="1"/>
    <x v="23"/>
    <x v="1"/>
    <n v="4"/>
    <n v="500"/>
    <n v="250"/>
    <n v="2000"/>
    <x v="0"/>
    <n v="10"/>
    <x v="5"/>
    <n v="26"/>
    <x v="4"/>
    <x v="0"/>
    <n v="1750"/>
    <n v="0.875"/>
    <n v="1"/>
  </r>
  <r>
    <n v="14"/>
    <d v="2022-05-18T00:00:00"/>
    <d v="1899-12-30T07:11:00"/>
    <n v="8"/>
    <x v="0"/>
    <x v="3"/>
    <x v="0"/>
    <n v="4"/>
    <n v="30"/>
    <n v="13.2"/>
    <n v="120"/>
    <x v="0"/>
    <n v="5"/>
    <x v="7"/>
    <n v="18"/>
    <x v="4"/>
    <x v="3"/>
    <n v="106.8"/>
    <n v="0.89"/>
    <n v="0"/>
  </r>
  <r>
    <n v="103"/>
    <d v="2022-11-12T00:00:00"/>
    <d v="1899-12-30T10:05:00"/>
    <n v="33"/>
    <x v="1"/>
    <x v="26"/>
    <x v="0"/>
    <n v="1"/>
    <n v="25"/>
    <n v="10.75"/>
    <n v="25"/>
    <x v="0"/>
    <n v="11"/>
    <x v="0"/>
    <n v="12"/>
    <x v="0"/>
    <x v="0"/>
    <n v="14.25"/>
    <n v="0.56999999999999995"/>
    <n v="0"/>
  </r>
  <r>
    <n v="238"/>
    <d v="2022-05-10T00:00:00"/>
    <d v="1899-12-30T11:52:00"/>
    <n v="20"/>
    <x v="1"/>
    <x v="27"/>
    <x v="1"/>
    <n v="1"/>
    <n v="500"/>
    <n v="150"/>
    <n v="500"/>
    <x v="0"/>
    <n v="5"/>
    <x v="7"/>
    <n v="10"/>
    <x v="6"/>
    <x v="3"/>
    <n v="350"/>
    <n v="0.7"/>
    <n v="1"/>
  </r>
  <r>
    <n v="986"/>
    <d v="2022-08-01T00:00:00"/>
    <d v="1899-12-30T09:35:00"/>
    <n v="65"/>
    <x v="1"/>
    <x v="28"/>
    <x v="0"/>
    <n v="2"/>
    <n v="500"/>
    <n v="200"/>
    <n v="1000"/>
    <x v="0"/>
    <n v="8"/>
    <x v="4"/>
    <n v="1"/>
    <x v="1"/>
    <x v="1"/>
    <n v="800"/>
    <n v="0.8"/>
    <n v="1"/>
  </r>
  <r>
    <n v="1014"/>
    <d v="2022-02-04T00:00:00"/>
    <d v="1899-12-30T10:26:00"/>
    <n v="147"/>
    <x v="0"/>
    <x v="3"/>
    <x v="0"/>
    <n v="4"/>
    <n v="30"/>
    <n v="11.4"/>
    <n v="120"/>
    <x v="0"/>
    <n v="2"/>
    <x v="10"/>
    <n v="4"/>
    <x v="3"/>
    <x v="2"/>
    <n v="108.6"/>
    <n v="0.90500000000000003"/>
    <n v="0"/>
  </r>
  <r>
    <n v="1103"/>
    <d v="2022-02-14T00:00:00"/>
    <d v="1899-12-30T07:11:00"/>
    <n v="61"/>
    <x v="1"/>
    <x v="26"/>
    <x v="0"/>
    <n v="1"/>
    <n v="25"/>
    <n v="6.75"/>
    <n v="25"/>
    <x v="0"/>
    <n v="2"/>
    <x v="10"/>
    <n v="14"/>
    <x v="1"/>
    <x v="2"/>
    <n v="18.25"/>
    <n v="0.73"/>
    <n v="0"/>
  </r>
  <r>
    <n v="1238"/>
    <d v="2022-09-17T00:00:00"/>
    <d v="1899-12-30T07:38:00"/>
    <n v="129"/>
    <x v="1"/>
    <x v="27"/>
    <x v="1"/>
    <n v="1"/>
    <n v="500"/>
    <n v="165"/>
    <n v="500"/>
    <x v="0"/>
    <n v="9"/>
    <x v="9"/>
    <n v="17"/>
    <x v="0"/>
    <x v="1"/>
    <n v="335"/>
    <n v="0.67"/>
    <n v="1"/>
  </r>
  <r>
    <n v="1986"/>
    <d v="2022-09-14T00:00:00"/>
    <d v="1899-12-30T08:28:00"/>
    <n v="29"/>
    <x v="1"/>
    <x v="28"/>
    <x v="0"/>
    <n v="2"/>
    <n v="500"/>
    <n v="145"/>
    <n v="1000"/>
    <x v="0"/>
    <n v="9"/>
    <x v="9"/>
    <n v="14"/>
    <x v="4"/>
    <x v="1"/>
    <n v="855"/>
    <n v="0.85499999999999998"/>
    <n v="1"/>
  </r>
  <r>
    <n v="438"/>
    <d v="2022-08-31T00:00:00"/>
    <d v="1899-12-30T10:15:00"/>
    <n v="88"/>
    <x v="1"/>
    <x v="25"/>
    <x v="0"/>
    <n v="1"/>
    <n v="30"/>
    <n v="15.9"/>
    <n v="30"/>
    <x v="0"/>
    <n v="8"/>
    <x v="4"/>
    <n v="31"/>
    <x v="4"/>
    <x v="1"/>
    <n v="14.1"/>
    <n v="0.47"/>
    <n v="0"/>
  </r>
  <r>
    <n v="1438"/>
    <d v="2022-01-07T00:00:00"/>
    <d v="1899-12-30T10:00:00"/>
    <n v="72"/>
    <x v="1"/>
    <x v="25"/>
    <x v="0"/>
    <n v="1"/>
    <n v="30"/>
    <n v="13.8"/>
    <n v="30"/>
    <x v="0"/>
    <n v="1"/>
    <x v="3"/>
    <n v="7"/>
    <x v="3"/>
    <x v="2"/>
    <n v="16.2"/>
    <n v="0.54"/>
    <n v="0"/>
  </r>
  <r>
    <n v="475"/>
    <d v="2022-08-12T00:00:00"/>
    <d v="1899-12-30T10:39:00"/>
    <n v="78"/>
    <x v="0"/>
    <x v="6"/>
    <x v="0"/>
    <n v="3"/>
    <n v="25"/>
    <n v="9"/>
    <n v="75"/>
    <x v="0"/>
    <n v="8"/>
    <x v="4"/>
    <n v="12"/>
    <x v="3"/>
    <x v="1"/>
    <n v="66"/>
    <n v="0.88"/>
    <n v="0"/>
  </r>
  <r>
    <n v="505"/>
    <d v="2022-12-17T00:00:00"/>
    <d v="1899-12-30T07:25:00"/>
    <n v="86"/>
    <x v="0"/>
    <x v="24"/>
    <x v="1"/>
    <n v="1"/>
    <n v="50"/>
    <n v="19.5"/>
    <n v="50"/>
    <x v="0"/>
    <n v="12"/>
    <x v="2"/>
    <n v="17"/>
    <x v="0"/>
    <x v="0"/>
    <n v="30.5"/>
    <n v="0.61"/>
    <n v="0"/>
  </r>
  <r>
    <n v="1475"/>
    <d v="2022-10-04T00:00:00"/>
    <d v="1899-12-30T07:03:00"/>
    <n v="132"/>
    <x v="0"/>
    <x v="6"/>
    <x v="0"/>
    <n v="3"/>
    <n v="25"/>
    <n v="10.75"/>
    <n v="75"/>
    <x v="0"/>
    <n v="10"/>
    <x v="5"/>
    <n v="4"/>
    <x v="6"/>
    <x v="0"/>
    <n v="64.25"/>
    <n v="0.85666666700000005"/>
    <n v="0"/>
  </r>
  <r>
    <n v="1505"/>
    <d v="2022-10-30T00:00:00"/>
    <d v="1899-12-30T08:00:00"/>
    <n v="98"/>
    <x v="0"/>
    <x v="24"/>
    <x v="1"/>
    <n v="1"/>
    <n v="50"/>
    <n v="14.5"/>
    <n v="50"/>
    <x v="0"/>
    <n v="10"/>
    <x v="5"/>
    <n v="30"/>
    <x v="5"/>
    <x v="0"/>
    <n v="35.5"/>
    <n v="0.71"/>
    <n v="0"/>
  </r>
  <r>
    <n v="344"/>
    <d v="2022-07-17T00:00:00"/>
    <d v="1899-12-30T09:47:00"/>
    <n v="69"/>
    <x v="1"/>
    <x v="25"/>
    <x v="1"/>
    <n v="1"/>
    <n v="30"/>
    <n v="7.5"/>
    <n v="30"/>
    <x v="0"/>
    <n v="7"/>
    <x v="1"/>
    <n v="17"/>
    <x v="5"/>
    <x v="1"/>
    <n v="22.5"/>
    <n v="0.75"/>
    <n v="0"/>
  </r>
  <r>
    <n v="448"/>
    <d v="2022-03-19T00:00:00"/>
    <d v="1899-12-30T09:36:00"/>
    <n v="86"/>
    <x v="1"/>
    <x v="29"/>
    <x v="1"/>
    <n v="2"/>
    <n v="30"/>
    <n v="16.2"/>
    <n v="60"/>
    <x v="0"/>
    <n v="3"/>
    <x v="8"/>
    <n v="19"/>
    <x v="0"/>
    <x v="2"/>
    <n v="43.8"/>
    <n v="0.73"/>
    <n v="0"/>
  </r>
  <r>
    <n v="742"/>
    <d v="2022-03-19T00:00:00"/>
    <d v="1899-12-30T06:08:00"/>
    <n v="37"/>
    <x v="1"/>
    <x v="9"/>
    <x v="2"/>
    <n v="4"/>
    <n v="500"/>
    <n v="195"/>
    <n v="2000"/>
    <x v="0"/>
    <n v="3"/>
    <x v="8"/>
    <n v="19"/>
    <x v="0"/>
    <x v="2"/>
    <n v="1805"/>
    <n v="0.90249999999999997"/>
    <n v="1"/>
  </r>
  <r>
    <n v="1344"/>
    <d v="2022-12-18T00:00:00"/>
    <d v="1899-12-30T06:12:00"/>
    <n v="144"/>
    <x v="1"/>
    <x v="25"/>
    <x v="1"/>
    <n v="1"/>
    <n v="30"/>
    <n v="11.1"/>
    <n v="30"/>
    <x v="0"/>
    <n v="12"/>
    <x v="2"/>
    <n v="18"/>
    <x v="5"/>
    <x v="0"/>
    <n v="18.899999999999999"/>
    <n v="0.63"/>
    <n v="0"/>
  </r>
  <r>
    <n v="1448"/>
    <d v="2022-05-16T00:00:00"/>
    <d v="1899-12-30T06:28:00"/>
    <n v="51"/>
    <x v="1"/>
    <x v="29"/>
    <x v="1"/>
    <n v="2"/>
    <n v="30"/>
    <n v="9.3000000000000007"/>
    <n v="60"/>
    <x v="0"/>
    <n v="5"/>
    <x v="7"/>
    <n v="16"/>
    <x v="1"/>
    <x v="3"/>
    <n v="50.7"/>
    <n v="0.84499999999999997"/>
    <n v="0"/>
  </r>
  <r>
    <n v="1742"/>
    <d v="2022-11-22T00:00:00"/>
    <d v="1899-12-30T08:25:00"/>
    <n v="18"/>
    <x v="1"/>
    <x v="9"/>
    <x v="2"/>
    <n v="4"/>
    <n v="500"/>
    <n v="220"/>
    <n v="2000"/>
    <x v="0"/>
    <n v="11"/>
    <x v="0"/>
    <n v="22"/>
    <x v="6"/>
    <x v="0"/>
    <n v="1780"/>
    <n v="0.89"/>
    <n v="1"/>
  </r>
  <r>
    <n v="445"/>
    <d v="2022-04-14T00:00:00"/>
    <d v="1899-12-30T10:48:00"/>
    <n v="132"/>
    <x v="1"/>
    <x v="21"/>
    <x v="2"/>
    <n v="1"/>
    <n v="300"/>
    <n v="138"/>
    <n v="300"/>
    <x v="0"/>
    <n v="4"/>
    <x v="6"/>
    <n v="14"/>
    <x v="2"/>
    <x v="3"/>
    <n v="162"/>
    <n v="0.54"/>
    <n v="1"/>
  </r>
  <r>
    <n v="787"/>
    <d v="2022-06-10T00:00:00"/>
    <d v="1899-12-30T10:42:00"/>
    <n v="25"/>
    <x v="0"/>
    <x v="0"/>
    <x v="2"/>
    <n v="1"/>
    <n v="25"/>
    <n v="13.75"/>
    <n v="25"/>
    <x v="0"/>
    <n v="6"/>
    <x v="11"/>
    <n v="10"/>
    <x v="3"/>
    <x v="3"/>
    <n v="11.25"/>
    <n v="0.45"/>
    <n v="0"/>
  </r>
  <r>
    <n v="1445"/>
    <d v="2022-04-19T00:00:00"/>
    <d v="1899-12-30T06:16:00"/>
    <n v="31"/>
    <x v="1"/>
    <x v="21"/>
    <x v="2"/>
    <n v="1"/>
    <n v="300"/>
    <n v="129"/>
    <n v="300"/>
    <x v="0"/>
    <n v="4"/>
    <x v="6"/>
    <n v="19"/>
    <x v="6"/>
    <x v="3"/>
    <n v="171"/>
    <n v="0.56999999999999995"/>
    <n v="1"/>
  </r>
  <r>
    <n v="1787"/>
    <d v="2022-05-30T00:00:00"/>
    <d v="1899-12-30T07:42:00"/>
    <n v="104"/>
    <x v="0"/>
    <x v="0"/>
    <x v="2"/>
    <n v="1"/>
    <n v="25"/>
    <n v="10"/>
    <n v="25"/>
    <x v="0"/>
    <n v="5"/>
    <x v="7"/>
    <n v="30"/>
    <x v="1"/>
    <x v="3"/>
    <n v="15"/>
    <n v="0.6"/>
    <n v="0"/>
  </r>
  <r>
    <n v="49"/>
    <d v="2022-09-17T00:00:00"/>
    <d v="1899-12-30T10:33:00"/>
    <n v="37"/>
    <x v="1"/>
    <x v="29"/>
    <x v="2"/>
    <n v="2"/>
    <n v="500"/>
    <n v="255"/>
    <n v="1000"/>
    <x v="0"/>
    <n v="9"/>
    <x v="9"/>
    <n v="17"/>
    <x v="0"/>
    <x v="1"/>
    <n v="745"/>
    <n v="0.745"/>
    <n v="1"/>
  </r>
  <r>
    <n v="420"/>
    <d v="2022-01-02T00:00:00"/>
    <d v="1899-12-30T10:53:00"/>
    <n v="28"/>
    <x v="1"/>
    <x v="30"/>
    <x v="0"/>
    <n v="4"/>
    <n v="500"/>
    <n v="200"/>
    <n v="2000"/>
    <x v="0"/>
    <n v="1"/>
    <x v="3"/>
    <n v="2"/>
    <x v="5"/>
    <x v="2"/>
    <n v="1800"/>
    <n v="0.9"/>
    <n v="1"/>
  </r>
  <r>
    <n v="519"/>
    <d v="2022-04-08T00:00:00"/>
    <d v="1899-12-30T10:17:00"/>
    <n v="52"/>
    <x v="1"/>
    <x v="31"/>
    <x v="2"/>
    <n v="4"/>
    <n v="30"/>
    <n v="16.5"/>
    <n v="120"/>
    <x v="0"/>
    <n v="4"/>
    <x v="6"/>
    <n v="8"/>
    <x v="3"/>
    <x v="3"/>
    <n v="103.5"/>
    <n v="0.86250000000000004"/>
    <n v="0"/>
  </r>
  <r>
    <n v="1049"/>
    <d v="2022-05-16T00:00:00"/>
    <d v="1899-12-30T06:36:00"/>
    <n v="143"/>
    <x v="1"/>
    <x v="29"/>
    <x v="2"/>
    <n v="2"/>
    <n v="500"/>
    <n v="125"/>
    <n v="1000"/>
    <x v="0"/>
    <n v="5"/>
    <x v="7"/>
    <n v="16"/>
    <x v="1"/>
    <x v="3"/>
    <n v="875"/>
    <n v="0.875"/>
    <n v="1"/>
  </r>
  <r>
    <n v="1420"/>
    <d v="2022-04-15T00:00:00"/>
    <d v="1899-12-30T07:01:00"/>
    <n v="138"/>
    <x v="1"/>
    <x v="30"/>
    <x v="0"/>
    <n v="4"/>
    <n v="500"/>
    <n v="205"/>
    <n v="2000"/>
    <x v="0"/>
    <n v="4"/>
    <x v="6"/>
    <n v="15"/>
    <x v="3"/>
    <x v="3"/>
    <n v="1795"/>
    <n v="0.89749999999999996"/>
    <n v="1"/>
  </r>
  <r>
    <n v="1519"/>
    <d v="2022-01-08T00:00:00"/>
    <d v="1899-12-30T07:35:00"/>
    <n v="139"/>
    <x v="1"/>
    <x v="31"/>
    <x v="2"/>
    <n v="4"/>
    <n v="30"/>
    <n v="9.3000000000000007"/>
    <n v="120"/>
    <x v="0"/>
    <n v="1"/>
    <x v="3"/>
    <n v="8"/>
    <x v="0"/>
    <x v="2"/>
    <n v="110.7"/>
    <n v="0.92249999999999999"/>
    <n v="0"/>
  </r>
  <r>
    <n v="64"/>
    <d v="2022-11-15T00:00:00"/>
    <d v="1899-12-30T06:34:00"/>
    <n v="7"/>
    <x v="0"/>
    <x v="28"/>
    <x v="0"/>
    <n v="4"/>
    <n v="25"/>
    <n v="8.5"/>
    <n v="100"/>
    <x v="0"/>
    <n v="11"/>
    <x v="0"/>
    <n v="15"/>
    <x v="6"/>
    <x v="0"/>
    <n v="91.5"/>
    <n v="0.91500000000000004"/>
    <n v="0"/>
  </r>
  <r>
    <n v="592"/>
    <d v="2022-12-26T00:00:00"/>
    <d v="1899-12-30T09:15:00"/>
    <n v="77"/>
    <x v="1"/>
    <x v="1"/>
    <x v="1"/>
    <n v="4"/>
    <n v="500"/>
    <n v="275"/>
    <n v="2000"/>
    <x v="0"/>
    <n v="12"/>
    <x v="2"/>
    <n v="26"/>
    <x v="1"/>
    <x v="0"/>
    <n v="1725"/>
    <n v="0.86250000000000004"/>
    <n v="1"/>
  </r>
  <r>
    <n v="912"/>
    <d v="2022-10-31T00:00:00"/>
    <d v="1899-12-30T06:18:00"/>
    <n v="122"/>
    <x v="0"/>
    <x v="12"/>
    <x v="1"/>
    <n v="3"/>
    <n v="50"/>
    <n v="20.5"/>
    <n v="150"/>
    <x v="0"/>
    <n v="10"/>
    <x v="5"/>
    <n v="31"/>
    <x v="1"/>
    <x v="0"/>
    <n v="129.5"/>
    <n v="0.86333333300000004"/>
    <n v="1"/>
  </r>
  <r>
    <n v="1064"/>
    <d v="2022-04-14T00:00:00"/>
    <d v="1899-12-30T10:38:00"/>
    <n v="49"/>
    <x v="0"/>
    <x v="28"/>
    <x v="0"/>
    <n v="4"/>
    <n v="25"/>
    <n v="13.75"/>
    <n v="100"/>
    <x v="0"/>
    <n v="4"/>
    <x v="6"/>
    <n v="14"/>
    <x v="2"/>
    <x v="3"/>
    <n v="86.25"/>
    <n v="0.86250000000000004"/>
    <n v="0"/>
  </r>
  <r>
    <n v="1592"/>
    <d v="2022-03-16T00:00:00"/>
    <d v="1899-12-30T09:08:00"/>
    <n v="81"/>
    <x v="1"/>
    <x v="1"/>
    <x v="1"/>
    <n v="4"/>
    <n v="500"/>
    <n v="155"/>
    <n v="2000"/>
    <x v="0"/>
    <n v="3"/>
    <x v="8"/>
    <n v="16"/>
    <x v="4"/>
    <x v="2"/>
    <n v="1845"/>
    <n v="0.92249999999999999"/>
    <n v="1"/>
  </r>
  <r>
    <n v="1912"/>
    <d v="2022-05-27T00:00:00"/>
    <d v="1899-12-30T07:40:00"/>
    <n v="146"/>
    <x v="0"/>
    <x v="12"/>
    <x v="1"/>
    <n v="3"/>
    <n v="50"/>
    <n v="22"/>
    <n v="150"/>
    <x v="0"/>
    <n v="5"/>
    <x v="7"/>
    <n v="27"/>
    <x v="3"/>
    <x v="3"/>
    <n v="128"/>
    <n v="0.85333333300000003"/>
    <n v="1"/>
  </r>
  <r>
    <n v="134"/>
    <d v="2022-08-25T00:00:00"/>
    <d v="1899-12-30T09:03:00"/>
    <n v="132"/>
    <x v="0"/>
    <x v="28"/>
    <x v="2"/>
    <n v="1"/>
    <n v="50"/>
    <n v="16"/>
    <n v="50"/>
    <x v="0"/>
    <n v="8"/>
    <x v="4"/>
    <n v="25"/>
    <x v="2"/>
    <x v="1"/>
    <n v="34"/>
    <n v="0.68"/>
    <n v="0"/>
  </r>
  <r>
    <n v="1134"/>
    <d v="2022-08-05T00:00:00"/>
    <d v="1899-12-30T09:04:00"/>
    <n v="106"/>
    <x v="0"/>
    <x v="28"/>
    <x v="2"/>
    <n v="1"/>
    <n v="50"/>
    <n v="24"/>
    <n v="50"/>
    <x v="0"/>
    <n v="8"/>
    <x v="4"/>
    <n v="5"/>
    <x v="3"/>
    <x v="1"/>
    <n v="26"/>
    <n v="0.52"/>
    <n v="0"/>
  </r>
  <r>
    <n v="288"/>
    <d v="2022-05-02T00:00:00"/>
    <d v="1899-12-30T09:59:00"/>
    <n v="27"/>
    <x v="0"/>
    <x v="32"/>
    <x v="0"/>
    <n v="4"/>
    <n v="30"/>
    <n v="12"/>
    <n v="120"/>
    <x v="0"/>
    <n v="5"/>
    <x v="7"/>
    <n v="2"/>
    <x v="1"/>
    <x v="3"/>
    <n v="108"/>
    <n v="0.9"/>
    <n v="0"/>
  </r>
  <r>
    <n v="323"/>
    <d v="2022-01-21T00:00:00"/>
    <d v="1899-12-30T08:22:00"/>
    <n v="97"/>
    <x v="1"/>
    <x v="33"/>
    <x v="1"/>
    <n v="3"/>
    <n v="300"/>
    <n v="150"/>
    <n v="900"/>
    <x v="0"/>
    <n v="1"/>
    <x v="3"/>
    <n v="21"/>
    <x v="3"/>
    <x v="2"/>
    <n v="750"/>
    <n v="0.83333333300000001"/>
    <n v="1"/>
  </r>
  <r>
    <n v="618"/>
    <d v="2022-10-13T00:00:00"/>
    <d v="1899-12-30T10:22:00"/>
    <n v="5"/>
    <x v="1"/>
    <x v="17"/>
    <x v="1"/>
    <n v="1"/>
    <n v="50"/>
    <n v="26"/>
    <n v="50"/>
    <x v="0"/>
    <n v="10"/>
    <x v="5"/>
    <n v="13"/>
    <x v="2"/>
    <x v="0"/>
    <n v="24"/>
    <n v="0.48"/>
    <n v="0"/>
  </r>
  <r>
    <n v="720"/>
    <d v="2022-04-08T00:00:00"/>
    <d v="1899-12-30T08:50:00"/>
    <n v="116"/>
    <x v="1"/>
    <x v="34"/>
    <x v="1"/>
    <n v="3"/>
    <n v="500"/>
    <n v="235"/>
    <n v="1500"/>
    <x v="0"/>
    <n v="4"/>
    <x v="6"/>
    <n v="8"/>
    <x v="3"/>
    <x v="3"/>
    <n v="1265"/>
    <n v="0.84333333300000002"/>
    <n v="1"/>
  </r>
  <r>
    <n v="1288"/>
    <d v="2022-04-05T00:00:00"/>
    <d v="1899-12-30T11:56:00"/>
    <n v="26"/>
    <x v="0"/>
    <x v="32"/>
    <x v="0"/>
    <n v="4"/>
    <n v="30"/>
    <n v="9"/>
    <n v="120"/>
    <x v="0"/>
    <n v="4"/>
    <x v="6"/>
    <n v="5"/>
    <x v="6"/>
    <x v="3"/>
    <n v="111"/>
    <n v="0.92500000000000004"/>
    <n v="0"/>
  </r>
  <r>
    <n v="1323"/>
    <d v="2022-08-15T00:00:00"/>
    <d v="1899-12-30T10:49:00"/>
    <n v="136"/>
    <x v="1"/>
    <x v="33"/>
    <x v="1"/>
    <n v="3"/>
    <n v="300"/>
    <n v="114"/>
    <n v="900"/>
    <x v="0"/>
    <n v="8"/>
    <x v="4"/>
    <n v="15"/>
    <x v="1"/>
    <x v="1"/>
    <n v="786"/>
    <n v="0.87333333300000004"/>
    <n v="1"/>
  </r>
  <r>
    <n v="1618"/>
    <d v="2022-09-15T00:00:00"/>
    <d v="1899-12-30T06:27:00"/>
    <n v="118"/>
    <x v="1"/>
    <x v="17"/>
    <x v="1"/>
    <n v="1"/>
    <n v="50"/>
    <n v="13.5"/>
    <n v="50"/>
    <x v="0"/>
    <n v="9"/>
    <x v="9"/>
    <n v="15"/>
    <x v="2"/>
    <x v="1"/>
    <n v="36.5"/>
    <n v="0.73"/>
    <n v="0"/>
  </r>
  <r>
    <n v="1720"/>
    <d v="2022-10-10T00:00:00"/>
    <d v="1899-12-30T08:51:00"/>
    <n v="28"/>
    <x v="1"/>
    <x v="34"/>
    <x v="1"/>
    <n v="3"/>
    <n v="500"/>
    <n v="190"/>
    <n v="1500"/>
    <x v="0"/>
    <n v="10"/>
    <x v="5"/>
    <n v="10"/>
    <x v="1"/>
    <x v="0"/>
    <n v="1310"/>
    <n v="0.87333333300000004"/>
    <n v="1"/>
  </r>
  <r>
    <n v="415"/>
    <d v="2022-01-05T00:00:00"/>
    <d v="1899-12-30T09:59:00"/>
    <n v="85"/>
    <x v="0"/>
    <x v="21"/>
    <x v="0"/>
    <n v="2"/>
    <n v="30"/>
    <n v="8.1"/>
    <n v="60"/>
    <x v="0"/>
    <n v="1"/>
    <x v="3"/>
    <n v="5"/>
    <x v="4"/>
    <x v="2"/>
    <n v="51.9"/>
    <n v="0.86499999999999999"/>
    <n v="0"/>
  </r>
  <r>
    <n v="736"/>
    <d v="2022-12-18T00:00:00"/>
    <d v="1899-12-30T08:30:00"/>
    <n v="97"/>
    <x v="0"/>
    <x v="33"/>
    <x v="0"/>
    <n v="4"/>
    <n v="25"/>
    <n v="9.75"/>
    <n v="100"/>
    <x v="0"/>
    <n v="12"/>
    <x v="2"/>
    <n v="18"/>
    <x v="5"/>
    <x v="0"/>
    <n v="90.25"/>
    <n v="0.90249999999999997"/>
    <n v="0"/>
  </r>
  <r>
    <n v="929"/>
    <d v="2022-03-11T00:00:00"/>
    <d v="1899-12-30T10:18:00"/>
    <n v="40"/>
    <x v="1"/>
    <x v="8"/>
    <x v="1"/>
    <n v="3"/>
    <n v="25"/>
    <n v="10.5"/>
    <n v="75"/>
    <x v="0"/>
    <n v="3"/>
    <x v="8"/>
    <n v="11"/>
    <x v="3"/>
    <x v="2"/>
    <n v="64.5"/>
    <n v="0.86"/>
    <n v="0"/>
  </r>
  <r>
    <n v="1415"/>
    <d v="2022-03-06T00:00:00"/>
    <d v="1899-12-30T07:11:00"/>
    <n v="146"/>
    <x v="0"/>
    <x v="21"/>
    <x v="0"/>
    <n v="2"/>
    <n v="30"/>
    <n v="15.3"/>
    <n v="60"/>
    <x v="0"/>
    <n v="3"/>
    <x v="8"/>
    <n v="6"/>
    <x v="5"/>
    <x v="2"/>
    <n v="44.7"/>
    <n v="0.745"/>
    <n v="0"/>
  </r>
  <r>
    <n v="1736"/>
    <d v="2022-08-28T00:00:00"/>
    <d v="1899-12-30T08:57:00"/>
    <n v="87"/>
    <x v="0"/>
    <x v="33"/>
    <x v="0"/>
    <n v="4"/>
    <n v="25"/>
    <n v="10.25"/>
    <n v="100"/>
    <x v="0"/>
    <n v="8"/>
    <x v="4"/>
    <n v="28"/>
    <x v="5"/>
    <x v="1"/>
    <n v="89.75"/>
    <n v="0.89749999999999996"/>
    <n v="0"/>
  </r>
  <r>
    <n v="1929"/>
    <d v="2022-09-15T00:00:00"/>
    <d v="1899-12-30T06:50:00"/>
    <n v="62"/>
    <x v="1"/>
    <x v="8"/>
    <x v="1"/>
    <n v="3"/>
    <n v="25"/>
    <n v="12.75"/>
    <n v="75"/>
    <x v="0"/>
    <n v="9"/>
    <x v="9"/>
    <n v="15"/>
    <x v="2"/>
    <x v="1"/>
    <n v="62.25"/>
    <n v="0.83"/>
    <n v="0"/>
  </r>
  <r>
    <n v="264"/>
    <d v="2022-12-26T00:00:00"/>
    <d v="1899-12-30T11:03:00"/>
    <n v="111"/>
    <x v="0"/>
    <x v="35"/>
    <x v="0"/>
    <n v="3"/>
    <n v="300"/>
    <n v="150"/>
    <n v="900"/>
    <x v="0"/>
    <n v="12"/>
    <x v="2"/>
    <n v="26"/>
    <x v="1"/>
    <x v="0"/>
    <n v="750"/>
    <n v="0.83333333300000001"/>
    <n v="1"/>
  </r>
  <r>
    <n v="913"/>
    <d v="2022-10-12T00:00:00"/>
    <d v="1899-12-30T10:52:00"/>
    <n v="78"/>
    <x v="0"/>
    <x v="33"/>
    <x v="2"/>
    <n v="3"/>
    <n v="30"/>
    <n v="16.5"/>
    <n v="90"/>
    <x v="0"/>
    <n v="10"/>
    <x v="5"/>
    <n v="12"/>
    <x v="4"/>
    <x v="0"/>
    <n v="73.5"/>
    <n v="0.81666666700000001"/>
    <n v="0"/>
  </r>
  <r>
    <n v="940"/>
    <d v="2022-01-05T00:00:00"/>
    <d v="1899-12-30T08:11:00"/>
    <n v="46"/>
    <x v="1"/>
    <x v="36"/>
    <x v="2"/>
    <n v="1"/>
    <n v="30"/>
    <n v="9.6"/>
    <n v="30"/>
    <x v="0"/>
    <n v="1"/>
    <x v="3"/>
    <n v="5"/>
    <x v="4"/>
    <x v="2"/>
    <n v="20.399999999999999"/>
    <n v="0.68"/>
    <n v="0"/>
  </r>
  <r>
    <n v="1264"/>
    <d v="2022-05-27T00:00:00"/>
    <d v="1899-12-30T09:23:00"/>
    <n v="82"/>
    <x v="0"/>
    <x v="35"/>
    <x v="0"/>
    <n v="3"/>
    <n v="300"/>
    <n v="123"/>
    <n v="900"/>
    <x v="0"/>
    <n v="5"/>
    <x v="7"/>
    <n v="27"/>
    <x v="3"/>
    <x v="3"/>
    <n v="777"/>
    <n v="0.86333333300000004"/>
    <n v="1"/>
  </r>
  <r>
    <n v="1913"/>
    <d v="2022-06-23T00:00:00"/>
    <d v="1899-12-30T07:10:00"/>
    <n v="101"/>
    <x v="0"/>
    <x v="33"/>
    <x v="2"/>
    <n v="3"/>
    <n v="30"/>
    <n v="14.1"/>
    <n v="90"/>
    <x v="0"/>
    <n v="6"/>
    <x v="11"/>
    <n v="23"/>
    <x v="2"/>
    <x v="3"/>
    <n v="75.900000000000006"/>
    <n v="0.84333333300000002"/>
    <n v="0"/>
  </r>
  <r>
    <n v="1940"/>
    <d v="2022-06-15T00:00:00"/>
    <d v="1899-12-30T09:47:00"/>
    <n v="56"/>
    <x v="1"/>
    <x v="36"/>
    <x v="2"/>
    <n v="1"/>
    <n v="30"/>
    <n v="11.1"/>
    <n v="30"/>
    <x v="0"/>
    <n v="6"/>
    <x v="11"/>
    <n v="15"/>
    <x v="4"/>
    <x v="3"/>
    <n v="18.899999999999999"/>
    <n v="0.63"/>
    <n v="0"/>
  </r>
  <r>
    <n v="101"/>
    <d v="2022-01-08T00:00:00"/>
    <d v="1899-12-30T08:46:00"/>
    <n v="24"/>
    <x v="0"/>
    <x v="37"/>
    <x v="0"/>
    <n v="2"/>
    <n v="300"/>
    <n v="135"/>
    <n v="600"/>
    <x v="0"/>
    <n v="1"/>
    <x v="3"/>
    <n v="8"/>
    <x v="0"/>
    <x v="2"/>
    <n v="465"/>
    <n v="0.77500000000000002"/>
    <n v="1"/>
  </r>
  <r>
    <n v="1101"/>
    <d v="2022-05-17T00:00:00"/>
    <d v="1899-12-30T07:47:00"/>
    <n v="15"/>
    <x v="0"/>
    <x v="37"/>
    <x v="0"/>
    <n v="2"/>
    <n v="300"/>
    <n v="132"/>
    <n v="600"/>
    <x v="0"/>
    <n v="5"/>
    <x v="7"/>
    <n v="17"/>
    <x v="6"/>
    <x v="3"/>
    <n v="468"/>
    <n v="0.78"/>
    <n v="1"/>
  </r>
  <r>
    <n v="189"/>
    <d v="2022-01-02T00:00:00"/>
    <d v="1899-12-30T09:44:00"/>
    <n v="143"/>
    <x v="0"/>
    <x v="15"/>
    <x v="1"/>
    <n v="1"/>
    <n v="50"/>
    <n v="14.5"/>
    <n v="50"/>
    <x v="0"/>
    <n v="1"/>
    <x v="3"/>
    <n v="2"/>
    <x v="5"/>
    <x v="2"/>
    <n v="35.5"/>
    <n v="0.71"/>
    <n v="0"/>
  </r>
  <r>
    <n v="317"/>
    <d v="2022-05-04T00:00:00"/>
    <d v="1899-12-30T07:54:00"/>
    <n v="117"/>
    <x v="0"/>
    <x v="30"/>
    <x v="2"/>
    <n v="3"/>
    <n v="30"/>
    <n v="12"/>
    <n v="90"/>
    <x v="0"/>
    <n v="5"/>
    <x v="7"/>
    <n v="4"/>
    <x v="4"/>
    <x v="3"/>
    <n v="78"/>
    <n v="0.86666666699999995"/>
    <n v="0"/>
  </r>
  <r>
    <n v="322"/>
    <d v="2022-10-19T00:00:00"/>
    <d v="1899-12-30T06:11:00"/>
    <n v="13"/>
    <x v="0"/>
    <x v="12"/>
    <x v="2"/>
    <n v="1"/>
    <n v="500"/>
    <n v="125"/>
    <n v="500"/>
    <x v="0"/>
    <n v="10"/>
    <x v="5"/>
    <n v="19"/>
    <x v="4"/>
    <x v="0"/>
    <n v="375"/>
    <n v="0.75"/>
    <n v="1"/>
  </r>
  <r>
    <n v="329"/>
    <d v="2022-10-27T00:00:00"/>
    <d v="1899-12-30T07:42:00"/>
    <n v="52"/>
    <x v="1"/>
    <x v="1"/>
    <x v="2"/>
    <n v="4"/>
    <n v="25"/>
    <n v="8"/>
    <n v="100"/>
    <x v="0"/>
    <n v="10"/>
    <x v="5"/>
    <n v="27"/>
    <x v="2"/>
    <x v="0"/>
    <n v="92"/>
    <n v="0.92"/>
    <n v="0"/>
  </r>
  <r>
    <n v="1189"/>
    <d v="2022-12-07T00:00:00"/>
    <d v="1899-12-30T06:08:00"/>
    <n v="104"/>
    <x v="0"/>
    <x v="15"/>
    <x v="1"/>
    <n v="1"/>
    <n v="50"/>
    <n v="20.5"/>
    <n v="50"/>
    <x v="0"/>
    <n v="12"/>
    <x v="2"/>
    <n v="7"/>
    <x v="4"/>
    <x v="0"/>
    <n v="29.5"/>
    <n v="0.59"/>
    <n v="0"/>
  </r>
  <r>
    <n v="1317"/>
    <d v="2022-08-25T00:00:00"/>
    <d v="1899-12-30T08:02:00"/>
    <n v="144"/>
    <x v="0"/>
    <x v="30"/>
    <x v="2"/>
    <n v="3"/>
    <n v="30"/>
    <n v="12"/>
    <n v="90"/>
    <x v="0"/>
    <n v="8"/>
    <x v="4"/>
    <n v="25"/>
    <x v="2"/>
    <x v="1"/>
    <n v="78"/>
    <n v="0.86666666699999995"/>
    <n v="0"/>
  </r>
  <r>
    <n v="1322"/>
    <d v="2022-11-14T00:00:00"/>
    <d v="1899-12-30T09:56:00"/>
    <n v="10"/>
    <x v="0"/>
    <x v="12"/>
    <x v="2"/>
    <n v="1"/>
    <n v="500"/>
    <n v="250"/>
    <n v="500"/>
    <x v="0"/>
    <n v="11"/>
    <x v="0"/>
    <n v="14"/>
    <x v="1"/>
    <x v="0"/>
    <n v="250"/>
    <n v="0.5"/>
    <n v="1"/>
  </r>
  <r>
    <n v="1329"/>
    <d v="2022-01-27T00:00:00"/>
    <d v="1899-12-30T10:39:00"/>
    <n v="119"/>
    <x v="1"/>
    <x v="1"/>
    <x v="2"/>
    <n v="4"/>
    <n v="25"/>
    <n v="9.25"/>
    <n v="100"/>
    <x v="0"/>
    <n v="1"/>
    <x v="3"/>
    <n v="27"/>
    <x v="2"/>
    <x v="2"/>
    <n v="90.75"/>
    <n v="0.90749999999999997"/>
    <n v="0"/>
  </r>
  <r>
    <n v="235"/>
    <d v="2022-03-10T00:00:00"/>
    <d v="1899-12-30T10:13:00"/>
    <n v="132"/>
    <x v="1"/>
    <x v="8"/>
    <x v="2"/>
    <n v="2"/>
    <n v="500"/>
    <n v="275"/>
    <n v="1000"/>
    <x v="0"/>
    <n v="3"/>
    <x v="8"/>
    <n v="10"/>
    <x v="2"/>
    <x v="2"/>
    <n v="725"/>
    <n v="0.72499999999999998"/>
    <n v="1"/>
  </r>
  <r>
    <n v="300"/>
    <d v="2022-01-08T00:00:00"/>
    <d v="1899-12-30T09:41:00"/>
    <n v="138"/>
    <x v="1"/>
    <x v="4"/>
    <x v="2"/>
    <n v="4"/>
    <n v="50"/>
    <n v="26.5"/>
    <n v="200"/>
    <x v="0"/>
    <n v="1"/>
    <x v="3"/>
    <n v="8"/>
    <x v="0"/>
    <x v="2"/>
    <n v="173.5"/>
    <n v="0.86750000000000005"/>
    <n v="1"/>
  </r>
  <r>
    <n v="964"/>
    <d v="2022-08-26T00:00:00"/>
    <d v="1899-12-30T08:18:00"/>
    <n v="15"/>
    <x v="0"/>
    <x v="24"/>
    <x v="0"/>
    <n v="3"/>
    <n v="300"/>
    <n v="156"/>
    <n v="900"/>
    <x v="0"/>
    <n v="8"/>
    <x v="4"/>
    <n v="26"/>
    <x v="3"/>
    <x v="1"/>
    <n v="744"/>
    <n v="0.82666666700000002"/>
    <n v="1"/>
  </r>
  <r>
    <n v="1235"/>
    <d v="2022-04-04T00:00:00"/>
    <d v="1899-12-30T06:44:00"/>
    <n v="87"/>
    <x v="1"/>
    <x v="8"/>
    <x v="2"/>
    <n v="2"/>
    <n v="500"/>
    <n v="220"/>
    <n v="1000"/>
    <x v="0"/>
    <n v="4"/>
    <x v="6"/>
    <n v="4"/>
    <x v="1"/>
    <x v="3"/>
    <n v="780"/>
    <n v="0.78"/>
    <n v="1"/>
  </r>
  <r>
    <n v="1300"/>
    <d v="2022-08-08T00:00:00"/>
    <d v="1899-12-30T08:57:00"/>
    <n v="7"/>
    <x v="1"/>
    <x v="4"/>
    <x v="2"/>
    <n v="4"/>
    <n v="50"/>
    <n v="24"/>
    <n v="200"/>
    <x v="0"/>
    <n v="8"/>
    <x v="4"/>
    <n v="8"/>
    <x v="1"/>
    <x v="1"/>
    <n v="176"/>
    <n v="0.88"/>
    <n v="1"/>
  </r>
  <r>
    <n v="1964"/>
    <d v="2022-08-02T00:00:00"/>
    <d v="1899-12-30T08:27:00"/>
    <n v="115"/>
    <x v="0"/>
    <x v="24"/>
    <x v="0"/>
    <n v="3"/>
    <n v="300"/>
    <n v="111"/>
    <n v="900"/>
    <x v="0"/>
    <n v="8"/>
    <x v="4"/>
    <n v="2"/>
    <x v="6"/>
    <x v="1"/>
    <n v="789"/>
    <n v="0.87666666699999996"/>
    <n v="1"/>
  </r>
  <r>
    <n v="269"/>
    <d v="2022-09-19T00:00:00"/>
    <d v="1899-12-30T11:31:00"/>
    <n v="87"/>
    <x v="0"/>
    <x v="38"/>
    <x v="0"/>
    <n v="4"/>
    <n v="500"/>
    <n v="250"/>
    <n v="2000"/>
    <x v="0"/>
    <n v="9"/>
    <x v="9"/>
    <n v="19"/>
    <x v="1"/>
    <x v="1"/>
    <n v="1750"/>
    <n v="0.875"/>
    <n v="1"/>
  </r>
  <r>
    <n v="320"/>
    <d v="2022-04-20T00:00:00"/>
    <d v="1899-12-30T08:35:00"/>
    <n v="57"/>
    <x v="1"/>
    <x v="32"/>
    <x v="2"/>
    <n v="4"/>
    <n v="300"/>
    <n v="159"/>
    <n v="1200"/>
    <x v="0"/>
    <n v="4"/>
    <x v="6"/>
    <n v="20"/>
    <x v="4"/>
    <x v="3"/>
    <n v="1041"/>
    <n v="0.86750000000000005"/>
    <n v="1"/>
  </r>
  <r>
    <n v="673"/>
    <d v="2022-07-04T00:00:00"/>
    <d v="1899-12-30T10:14:00"/>
    <n v="18"/>
    <x v="1"/>
    <x v="22"/>
    <x v="0"/>
    <n v="3"/>
    <n v="500"/>
    <n v="270"/>
    <n v="1500"/>
    <x v="0"/>
    <n v="7"/>
    <x v="1"/>
    <n v="4"/>
    <x v="1"/>
    <x v="1"/>
    <n v="1230"/>
    <n v="0.82"/>
    <n v="1"/>
  </r>
  <r>
    <n v="1269"/>
    <d v="2022-01-01T00:00:00"/>
    <d v="1899-12-30T08:09:00"/>
    <n v="71"/>
    <x v="0"/>
    <x v="38"/>
    <x v="0"/>
    <n v="4"/>
    <n v="500"/>
    <n v="145"/>
    <n v="2000"/>
    <x v="0"/>
    <n v="1"/>
    <x v="3"/>
    <n v="1"/>
    <x v="0"/>
    <x v="2"/>
    <n v="1855"/>
    <n v="0.92749999999999999"/>
    <n v="1"/>
  </r>
  <r>
    <n v="1320"/>
    <d v="2022-11-02T00:00:00"/>
    <d v="1899-12-30T11:55:00"/>
    <n v="102"/>
    <x v="1"/>
    <x v="32"/>
    <x v="2"/>
    <n v="4"/>
    <n v="300"/>
    <n v="84"/>
    <n v="1200"/>
    <x v="0"/>
    <n v="11"/>
    <x v="0"/>
    <n v="2"/>
    <x v="4"/>
    <x v="0"/>
    <n v="1116"/>
    <n v="0.93"/>
    <n v="1"/>
  </r>
  <r>
    <n v="1673"/>
    <d v="2022-06-14T00:00:00"/>
    <d v="1899-12-30T07:36:00"/>
    <n v="42"/>
    <x v="1"/>
    <x v="22"/>
    <x v="0"/>
    <n v="3"/>
    <n v="500"/>
    <n v="185"/>
    <n v="1500"/>
    <x v="0"/>
    <n v="6"/>
    <x v="11"/>
    <n v="14"/>
    <x v="6"/>
    <x v="3"/>
    <n v="1315"/>
    <n v="0.87666666699999996"/>
    <n v="1"/>
  </r>
  <r>
    <n v="142"/>
    <d v="2022-04-08T00:00:00"/>
    <d v="1899-12-30T10:05:00"/>
    <n v="61"/>
    <x v="0"/>
    <x v="39"/>
    <x v="2"/>
    <n v="4"/>
    <n v="300"/>
    <n v="138"/>
    <n v="1200"/>
    <x v="0"/>
    <n v="4"/>
    <x v="6"/>
    <n v="8"/>
    <x v="3"/>
    <x v="3"/>
    <n v="1062"/>
    <n v="0.88500000000000001"/>
    <n v="1"/>
  </r>
  <r>
    <n v="223"/>
    <d v="2022-01-15T00:00:00"/>
    <d v="1899-12-30T11:18:00"/>
    <n v="61"/>
    <x v="1"/>
    <x v="3"/>
    <x v="0"/>
    <n v="1"/>
    <n v="25"/>
    <n v="12"/>
    <n v="25"/>
    <x v="0"/>
    <n v="1"/>
    <x v="3"/>
    <n v="15"/>
    <x v="0"/>
    <x v="2"/>
    <n v="13"/>
    <n v="0.52"/>
    <n v="0"/>
  </r>
  <r>
    <n v="666"/>
    <d v="2022-03-03T00:00:00"/>
    <d v="1899-12-30T10:59:00"/>
    <n v="49"/>
    <x v="0"/>
    <x v="12"/>
    <x v="2"/>
    <n v="3"/>
    <n v="50"/>
    <n v="16"/>
    <n v="150"/>
    <x v="0"/>
    <n v="3"/>
    <x v="8"/>
    <n v="3"/>
    <x v="2"/>
    <x v="2"/>
    <n v="134"/>
    <n v="0.89333333299999995"/>
    <n v="1"/>
  </r>
  <r>
    <n v="1142"/>
    <d v="2022-11-09T00:00:00"/>
    <d v="1899-12-30T09:49:00"/>
    <n v="2"/>
    <x v="0"/>
    <x v="39"/>
    <x v="2"/>
    <n v="4"/>
    <n v="300"/>
    <n v="114"/>
    <n v="1200"/>
    <x v="0"/>
    <n v="11"/>
    <x v="0"/>
    <n v="9"/>
    <x v="4"/>
    <x v="0"/>
    <n v="1086"/>
    <n v="0.90500000000000003"/>
    <n v="1"/>
  </r>
  <r>
    <n v="1223"/>
    <d v="2022-02-20T00:00:00"/>
    <d v="1899-12-30T07:40:00"/>
    <n v="106"/>
    <x v="1"/>
    <x v="3"/>
    <x v="0"/>
    <n v="1"/>
    <n v="25"/>
    <n v="9.75"/>
    <n v="25"/>
    <x v="0"/>
    <n v="2"/>
    <x v="10"/>
    <n v="20"/>
    <x v="5"/>
    <x v="2"/>
    <n v="15.25"/>
    <n v="0.61"/>
    <n v="0"/>
  </r>
  <r>
    <n v="1666"/>
    <d v="2022-12-08T00:00:00"/>
    <d v="1899-12-30T10:10:00"/>
    <n v="125"/>
    <x v="0"/>
    <x v="12"/>
    <x v="2"/>
    <n v="3"/>
    <n v="50"/>
    <n v="21"/>
    <n v="150"/>
    <x v="0"/>
    <n v="12"/>
    <x v="2"/>
    <n v="8"/>
    <x v="2"/>
    <x v="0"/>
    <n v="129"/>
    <n v="0.86"/>
    <n v="1"/>
  </r>
  <r>
    <n v="107"/>
    <d v="2022-10-06T00:00:00"/>
    <d v="1899-12-30T09:18:00"/>
    <n v="75"/>
    <x v="1"/>
    <x v="40"/>
    <x v="0"/>
    <n v="4"/>
    <n v="300"/>
    <n v="78"/>
    <n v="1200"/>
    <x v="0"/>
    <n v="10"/>
    <x v="5"/>
    <n v="6"/>
    <x v="2"/>
    <x v="0"/>
    <n v="1122"/>
    <n v="0.93500000000000005"/>
    <n v="1"/>
  </r>
  <r>
    <n v="933"/>
    <d v="2022-09-19T00:00:00"/>
    <d v="1899-12-30T07:53:00"/>
    <n v="81"/>
    <x v="0"/>
    <x v="30"/>
    <x v="1"/>
    <n v="1"/>
    <n v="30"/>
    <n v="12.9"/>
    <n v="30"/>
    <x v="0"/>
    <n v="9"/>
    <x v="9"/>
    <n v="19"/>
    <x v="1"/>
    <x v="1"/>
    <n v="17.100000000000001"/>
    <n v="0.56999999999999995"/>
    <n v="0"/>
  </r>
  <r>
    <n v="1107"/>
    <d v="2022-12-31T00:00:00"/>
    <d v="1899-12-30T11:14:00"/>
    <n v="62"/>
    <x v="1"/>
    <x v="40"/>
    <x v="0"/>
    <n v="4"/>
    <n v="300"/>
    <n v="102"/>
    <n v="1200"/>
    <x v="0"/>
    <n v="12"/>
    <x v="2"/>
    <n v="31"/>
    <x v="0"/>
    <x v="0"/>
    <n v="1098"/>
    <n v="0.91500000000000004"/>
    <n v="1"/>
  </r>
  <r>
    <n v="1933"/>
    <d v="2022-01-12T00:00:00"/>
    <d v="1899-12-30T11:04:00"/>
    <n v="121"/>
    <x v="0"/>
    <x v="30"/>
    <x v="1"/>
    <n v="1"/>
    <n v="30"/>
    <n v="14.4"/>
    <n v="30"/>
    <x v="0"/>
    <n v="1"/>
    <x v="3"/>
    <n v="12"/>
    <x v="4"/>
    <x v="2"/>
    <n v="15.6"/>
    <n v="0.52"/>
    <n v="0"/>
  </r>
  <r>
    <n v="237"/>
    <d v="2022-04-11T00:00:00"/>
    <d v="1899-12-30T08:54:00"/>
    <n v="105"/>
    <x v="1"/>
    <x v="20"/>
    <x v="1"/>
    <n v="2"/>
    <n v="500"/>
    <n v="165"/>
    <n v="1000"/>
    <x v="0"/>
    <n v="4"/>
    <x v="6"/>
    <n v="11"/>
    <x v="1"/>
    <x v="3"/>
    <n v="835"/>
    <n v="0.83499999999999996"/>
    <n v="1"/>
  </r>
  <r>
    <n v="335"/>
    <d v="2022-02-02T00:00:00"/>
    <d v="1899-12-30T09:23:00"/>
    <n v="2"/>
    <x v="1"/>
    <x v="35"/>
    <x v="1"/>
    <n v="4"/>
    <n v="30"/>
    <n v="10.8"/>
    <n v="120"/>
    <x v="0"/>
    <n v="2"/>
    <x v="10"/>
    <n v="2"/>
    <x v="4"/>
    <x v="2"/>
    <n v="109.2"/>
    <n v="0.91"/>
    <n v="0"/>
  </r>
  <r>
    <n v="1237"/>
    <d v="2022-02-23T00:00:00"/>
    <d v="1899-12-30T09:20:00"/>
    <n v="48"/>
    <x v="1"/>
    <x v="20"/>
    <x v="1"/>
    <n v="2"/>
    <n v="500"/>
    <n v="215"/>
    <n v="1000"/>
    <x v="0"/>
    <n v="2"/>
    <x v="10"/>
    <n v="23"/>
    <x v="4"/>
    <x v="2"/>
    <n v="785"/>
    <n v="0.78500000000000003"/>
    <n v="1"/>
  </r>
  <r>
    <n v="1335"/>
    <d v="2022-05-27T00:00:00"/>
    <d v="1899-12-30T08:45:00"/>
    <n v="117"/>
    <x v="1"/>
    <x v="35"/>
    <x v="1"/>
    <n v="4"/>
    <n v="30"/>
    <n v="8.6999999999999993"/>
    <n v="120"/>
    <x v="0"/>
    <n v="5"/>
    <x v="7"/>
    <n v="27"/>
    <x v="3"/>
    <x v="3"/>
    <n v="111.3"/>
    <n v="0.92749999999999999"/>
    <n v="0"/>
  </r>
  <r>
    <n v="63"/>
    <d v="2022-02-03T00:00:00"/>
    <d v="1899-12-30T11:49:00"/>
    <n v="127"/>
    <x v="0"/>
    <x v="10"/>
    <x v="2"/>
    <n v="2"/>
    <n v="25"/>
    <n v="6.25"/>
    <n v="50"/>
    <x v="0"/>
    <n v="2"/>
    <x v="10"/>
    <n v="3"/>
    <x v="2"/>
    <x v="2"/>
    <n v="43.75"/>
    <n v="0.875"/>
    <n v="0"/>
  </r>
  <r>
    <n v="195"/>
    <d v="2022-08-14T00:00:00"/>
    <d v="1899-12-30T11:51:00"/>
    <n v="10"/>
    <x v="0"/>
    <x v="41"/>
    <x v="0"/>
    <n v="1"/>
    <n v="30"/>
    <n v="9.3000000000000007"/>
    <n v="30"/>
    <x v="0"/>
    <n v="8"/>
    <x v="4"/>
    <n v="14"/>
    <x v="5"/>
    <x v="1"/>
    <n v="20.7"/>
    <n v="0.69"/>
    <n v="0"/>
  </r>
  <r>
    <n v="333"/>
    <d v="2022-10-06T00:00:00"/>
    <d v="1899-12-30T08:15:00"/>
    <n v="21"/>
    <x v="1"/>
    <x v="29"/>
    <x v="2"/>
    <n v="4"/>
    <n v="300"/>
    <n v="99"/>
    <n v="1200"/>
    <x v="0"/>
    <n v="10"/>
    <x v="5"/>
    <n v="6"/>
    <x v="2"/>
    <x v="0"/>
    <n v="1101"/>
    <n v="0.91749999999999998"/>
    <n v="1"/>
  </r>
  <r>
    <n v="379"/>
    <d v="2022-06-01T00:00:00"/>
    <d v="1899-12-30T07:28:00"/>
    <n v="76"/>
    <x v="1"/>
    <x v="35"/>
    <x v="0"/>
    <n v="1"/>
    <n v="25"/>
    <n v="8.5"/>
    <n v="25"/>
    <x v="0"/>
    <n v="6"/>
    <x v="11"/>
    <n v="1"/>
    <x v="4"/>
    <x v="3"/>
    <n v="16.5"/>
    <n v="0.66"/>
    <n v="0"/>
  </r>
  <r>
    <n v="490"/>
    <d v="2022-01-27T00:00:00"/>
    <d v="1899-12-30T06:07:00"/>
    <n v="43"/>
    <x v="0"/>
    <x v="23"/>
    <x v="0"/>
    <n v="3"/>
    <n v="50"/>
    <n v="18.5"/>
    <n v="150"/>
    <x v="0"/>
    <n v="1"/>
    <x v="3"/>
    <n v="27"/>
    <x v="2"/>
    <x v="2"/>
    <n v="131.5"/>
    <n v="0.87666666699999996"/>
    <n v="1"/>
  </r>
  <r>
    <n v="530"/>
    <d v="2022-05-01T00:00:00"/>
    <d v="1899-12-30T07:52:00"/>
    <n v="8"/>
    <x v="1"/>
    <x v="18"/>
    <x v="2"/>
    <n v="4"/>
    <n v="30"/>
    <n v="9"/>
    <n v="120"/>
    <x v="0"/>
    <n v="5"/>
    <x v="7"/>
    <n v="1"/>
    <x v="5"/>
    <x v="3"/>
    <n v="111"/>
    <n v="0.92500000000000004"/>
    <n v="0"/>
  </r>
  <r>
    <n v="740"/>
    <d v="2022-12-01T00:00:00"/>
    <d v="1899-12-30T06:58:00"/>
    <n v="33"/>
    <x v="1"/>
    <x v="38"/>
    <x v="1"/>
    <n v="4"/>
    <n v="50"/>
    <n v="13"/>
    <n v="200"/>
    <x v="0"/>
    <n v="12"/>
    <x v="2"/>
    <n v="1"/>
    <x v="2"/>
    <x v="0"/>
    <n v="187"/>
    <n v="0.93500000000000005"/>
    <n v="1"/>
  </r>
  <r>
    <n v="793"/>
    <d v="2022-05-27T00:00:00"/>
    <d v="1899-12-30T10:53:00"/>
    <n v="1"/>
    <x v="0"/>
    <x v="29"/>
    <x v="1"/>
    <n v="1"/>
    <n v="30"/>
    <n v="14.7"/>
    <n v="30"/>
    <x v="0"/>
    <n v="5"/>
    <x v="7"/>
    <n v="27"/>
    <x v="3"/>
    <x v="3"/>
    <n v="15.3"/>
    <n v="0.51"/>
    <n v="0"/>
  </r>
  <r>
    <n v="1063"/>
    <d v="2022-08-04T00:00:00"/>
    <d v="1899-12-30T10:26:00"/>
    <n v="56"/>
    <x v="0"/>
    <x v="10"/>
    <x v="2"/>
    <n v="2"/>
    <n v="25"/>
    <n v="11"/>
    <n v="50"/>
    <x v="0"/>
    <n v="8"/>
    <x v="4"/>
    <n v="4"/>
    <x v="2"/>
    <x v="1"/>
    <n v="39"/>
    <n v="0.78"/>
    <n v="0"/>
  </r>
  <r>
    <n v="1195"/>
    <d v="2022-09-21T00:00:00"/>
    <d v="1899-12-30T07:07:00"/>
    <n v="55"/>
    <x v="0"/>
    <x v="41"/>
    <x v="0"/>
    <n v="1"/>
    <n v="30"/>
    <n v="12"/>
    <n v="30"/>
    <x v="0"/>
    <n v="9"/>
    <x v="9"/>
    <n v="21"/>
    <x v="4"/>
    <x v="1"/>
    <n v="18"/>
    <n v="0.6"/>
    <n v="0"/>
  </r>
  <r>
    <n v="1333"/>
    <d v="2022-11-01T00:00:00"/>
    <d v="1899-12-30T11:38:00"/>
    <n v="151"/>
    <x v="1"/>
    <x v="29"/>
    <x v="2"/>
    <n v="4"/>
    <n v="300"/>
    <n v="165"/>
    <n v="1200"/>
    <x v="0"/>
    <n v="11"/>
    <x v="0"/>
    <n v="1"/>
    <x v="6"/>
    <x v="0"/>
    <n v="1035"/>
    <n v="0.86250000000000004"/>
    <n v="1"/>
  </r>
  <r>
    <n v="1379"/>
    <d v="2022-01-02T00:00:00"/>
    <d v="1899-12-30T06:23:00"/>
    <n v="69"/>
    <x v="1"/>
    <x v="35"/>
    <x v="0"/>
    <n v="1"/>
    <n v="25"/>
    <n v="7.25"/>
    <n v="25"/>
    <x v="0"/>
    <n v="1"/>
    <x v="3"/>
    <n v="2"/>
    <x v="5"/>
    <x v="2"/>
    <n v="17.75"/>
    <n v="0.71"/>
    <n v="0"/>
  </r>
  <r>
    <n v="1490"/>
    <d v="2022-10-26T00:00:00"/>
    <d v="1899-12-30T07:15:00"/>
    <n v="155"/>
    <x v="0"/>
    <x v="23"/>
    <x v="0"/>
    <n v="3"/>
    <n v="50"/>
    <n v="17"/>
    <n v="150"/>
    <x v="0"/>
    <n v="10"/>
    <x v="5"/>
    <n v="26"/>
    <x v="4"/>
    <x v="0"/>
    <n v="133"/>
    <n v="0.88666666699999996"/>
    <n v="1"/>
  </r>
  <r>
    <n v="1530"/>
    <d v="2022-12-10T00:00:00"/>
    <d v="1899-12-30T08:17:00"/>
    <n v="93"/>
    <x v="1"/>
    <x v="18"/>
    <x v="2"/>
    <n v="4"/>
    <n v="30"/>
    <n v="12.3"/>
    <n v="120"/>
    <x v="0"/>
    <n v="12"/>
    <x v="2"/>
    <n v="10"/>
    <x v="0"/>
    <x v="0"/>
    <n v="107.7"/>
    <n v="0.89749999999999996"/>
    <n v="0"/>
  </r>
  <r>
    <n v="1740"/>
    <d v="2022-07-16T00:00:00"/>
    <d v="1899-12-30T06:01:00"/>
    <n v="66"/>
    <x v="1"/>
    <x v="38"/>
    <x v="1"/>
    <n v="4"/>
    <n v="50"/>
    <n v="27"/>
    <n v="200"/>
    <x v="0"/>
    <n v="7"/>
    <x v="1"/>
    <n v="16"/>
    <x v="0"/>
    <x v="1"/>
    <n v="173"/>
    <n v="0.86499999999999999"/>
    <n v="1"/>
  </r>
  <r>
    <n v="1793"/>
    <d v="2022-12-11T00:00:00"/>
    <d v="1899-12-30T06:05:00"/>
    <n v="88"/>
    <x v="0"/>
    <x v="29"/>
    <x v="1"/>
    <n v="1"/>
    <n v="30"/>
    <n v="10.8"/>
    <n v="30"/>
    <x v="0"/>
    <n v="12"/>
    <x v="2"/>
    <n v="11"/>
    <x v="5"/>
    <x v="0"/>
    <n v="19.2"/>
    <n v="0.64"/>
    <n v="0"/>
  </r>
  <r>
    <n v="85"/>
    <d v="2022-09-03T00:00:00"/>
    <d v="1899-12-30T08:05:00"/>
    <n v="68"/>
    <x v="0"/>
    <x v="16"/>
    <x v="0"/>
    <n v="3"/>
    <n v="50"/>
    <n v="19"/>
    <n v="150"/>
    <x v="0"/>
    <n v="9"/>
    <x v="9"/>
    <n v="3"/>
    <x v="0"/>
    <x v="1"/>
    <n v="131"/>
    <n v="0.87333333300000004"/>
    <n v="1"/>
  </r>
  <r>
    <n v="232"/>
    <d v="2022-08-12T00:00:00"/>
    <d v="1899-12-30T07:14:00"/>
    <n v="150"/>
    <x v="1"/>
    <x v="22"/>
    <x v="1"/>
    <n v="1"/>
    <n v="25"/>
    <n v="12.75"/>
    <n v="25"/>
    <x v="0"/>
    <n v="8"/>
    <x v="4"/>
    <n v="12"/>
    <x v="3"/>
    <x v="1"/>
    <n v="12.25"/>
    <n v="0.49"/>
    <n v="0"/>
  </r>
  <r>
    <n v="240"/>
    <d v="2022-11-05T00:00:00"/>
    <d v="1899-12-30T11:49:00"/>
    <n v="95"/>
    <x v="1"/>
    <x v="8"/>
    <x v="1"/>
    <n v="1"/>
    <n v="300"/>
    <n v="123"/>
    <n v="300"/>
    <x v="0"/>
    <n v="11"/>
    <x v="0"/>
    <n v="5"/>
    <x v="0"/>
    <x v="0"/>
    <n v="177"/>
    <n v="0.59"/>
    <n v="1"/>
  </r>
  <r>
    <n v="993"/>
    <d v="2022-09-07T00:00:00"/>
    <d v="1899-12-30T09:21:00"/>
    <n v="134"/>
    <x v="1"/>
    <x v="42"/>
    <x v="2"/>
    <n v="3"/>
    <n v="50"/>
    <n v="17"/>
    <n v="150"/>
    <x v="0"/>
    <n v="9"/>
    <x v="9"/>
    <n v="7"/>
    <x v="4"/>
    <x v="1"/>
    <n v="133"/>
    <n v="0.88666666699999996"/>
    <n v="1"/>
  </r>
  <r>
    <n v="1085"/>
    <d v="2022-08-12T00:00:00"/>
    <d v="1899-12-30T09:29:00"/>
    <n v="76"/>
    <x v="0"/>
    <x v="16"/>
    <x v="0"/>
    <n v="3"/>
    <n v="50"/>
    <n v="17"/>
    <n v="150"/>
    <x v="0"/>
    <n v="8"/>
    <x v="4"/>
    <n v="12"/>
    <x v="3"/>
    <x v="1"/>
    <n v="133"/>
    <n v="0.88666666699999996"/>
    <n v="1"/>
  </r>
  <r>
    <n v="1232"/>
    <d v="2022-05-23T00:00:00"/>
    <d v="1899-12-30T08:05:00"/>
    <n v="146"/>
    <x v="1"/>
    <x v="22"/>
    <x v="1"/>
    <n v="1"/>
    <n v="25"/>
    <n v="6.25"/>
    <n v="25"/>
    <x v="0"/>
    <n v="5"/>
    <x v="7"/>
    <n v="23"/>
    <x v="1"/>
    <x v="3"/>
    <n v="18.75"/>
    <n v="0.75"/>
    <n v="0"/>
  </r>
  <r>
    <n v="1240"/>
    <d v="2022-08-07T00:00:00"/>
    <d v="1899-12-30T07:42:00"/>
    <n v="144"/>
    <x v="1"/>
    <x v="8"/>
    <x v="1"/>
    <n v="1"/>
    <n v="300"/>
    <n v="90"/>
    <n v="300"/>
    <x v="0"/>
    <n v="8"/>
    <x v="4"/>
    <n v="7"/>
    <x v="5"/>
    <x v="1"/>
    <n v="210"/>
    <n v="0.7"/>
    <n v="1"/>
  </r>
  <r>
    <n v="1993"/>
    <d v="2022-12-29T00:00:00"/>
    <d v="1899-12-30T11:53:00"/>
    <n v="123"/>
    <x v="1"/>
    <x v="42"/>
    <x v="2"/>
    <n v="3"/>
    <n v="50"/>
    <n v="26.5"/>
    <n v="150"/>
    <x v="0"/>
    <n v="12"/>
    <x v="2"/>
    <n v="29"/>
    <x v="2"/>
    <x v="0"/>
    <n v="123.5"/>
    <n v="0.823333333"/>
    <n v="1"/>
  </r>
  <r>
    <n v="366"/>
    <d v="2022-10-29T00:00:00"/>
    <d v="1899-12-30T09:32:00"/>
    <n v="116"/>
    <x v="0"/>
    <x v="10"/>
    <x v="0"/>
    <n v="2"/>
    <n v="50"/>
    <n v="17.5"/>
    <n v="100"/>
    <x v="0"/>
    <n v="10"/>
    <x v="5"/>
    <n v="29"/>
    <x v="0"/>
    <x v="0"/>
    <n v="82.5"/>
    <n v="0.82499999999999996"/>
    <n v="0"/>
  </r>
  <r>
    <n v="372"/>
    <d v="2022-06-19T00:00:00"/>
    <d v="1899-12-30T11:45:00"/>
    <n v="27"/>
    <x v="1"/>
    <x v="24"/>
    <x v="1"/>
    <n v="3"/>
    <n v="500"/>
    <n v="140"/>
    <n v="1500"/>
    <x v="0"/>
    <n v="6"/>
    <x v="11"/>
    <n v="19"/>
    <x v="5"/>
    <x v="3"/>
    <n v="1360"/>
    <n v="0.90666666699999998"/>
    <n v="1"/>
  </r>
  <r>
    <n v="596"/>
    <d v="2022-02-12T00:00:00"/>
    <d v="1899-12-30T08:44:00"/>
    <n v="87"/>
    <x v="1"/>
    <x v="3"/>
    <x v="2"/>
    <n v="1"/>
    <n v="300"/>
    <n v="93"/>
    <n v="300"/>
    <x v="0"/>
    <n v="2"/>
    <x v="10"/>
    <n v="12"/>
    <x v="0"/>
    <x v="2"/>
    <n v="207"/>
    <n v="0.69"/>
    <n v="1"/>
  </r>
  <r>
    <n v="936"/>
    <d v="2022-01-05T00:00:00"/>
    <d v="1899-12-30T10:51:00"/>
    <n v="143"/>
    <x v="0"/>
    <x v="10"/>
    <x v="1"/>
    <n v="4"/>
    <n v="50"/>
    <n v="19.5"/>
    <n v="200"/>
    <x v="0"/>
    <n v="1"/>
    <x v="3"/>
    <n v="5"/>
    <x v="4"/>
    <x v="2"/>
    <n v="180.5"/>
    <n v="0.90249999999999997"/>
    <n v="1"/>
  </r>
  <r>
    <n v="1366"/>
    <d v="2022-01-01T00:00:00"/>
    <d v="1899-12-30T11:34:00"/>
    <n v="25"/>
    <x v="0"/>
    <x v="10"/>
    <x v="0"/>
    <n v="2"/>
    <n v="50"/>
    <n v="23.5"/>
    <n v="100"/>
    <x v="0"/>
    <n v="1"/>
    <x v="3"/>
    <n v="1"/>
    <x v="0"/>
    <x v="2"/>
    <n v="76.5"/>
    <n v="0.76500000000000001"/>
    <n v="0"/>
  </r>
  <r>
    <n v="1372"/>
    <d v="2022-03-18T00:00:00"/>
    <d v="1899-12-30T10:53:00"/>
    <n v="60"/>
    <x v="1"/>
    <x v="24"/>
    <x v="1"/>
    <n v="3"/>
    <n v="500"/>
    <n v="145"/>
    <n v="1500"/>
    <x v="0"/>
    <n v="3"/>
    <x v="8"/>
    <n v="18"/>
    <x v="3"/>
    <x v="2"/>
    <n v="1355"/>
    <n v="0.90333333299999996"/>
    <n v="1"/>
  </r>
  <r>
    <n v="1596"/>
    <d v="2022-03-28T00:00:00"/>
    <d v="1899-12-30T06:22:00"/>
    <n v="7"/>
    <x v="1"/>
    <x v="3"/>
    <x v="2"/>
    <n v="1"/>
    <n v="300"/>
    <n v="141"/>
    <n v="300"/>
    <x v="0"/>
    <n v="3"/>
    <x v="8"/>
    <n v="28"/>
    <x v="1"/>
    <x v="2"/>
    <n v="159"/>
    <n v="0.53"/>
    <n v="1"/>
  </r>
  <r>
    <n v="1936"/>
    <d v="2022-06-19T00:00:00"/>
    <d v="1899-12-30T11:32:00"/>
    <n v="60"/>
    <x v="0"/>
    <x v="10"/>
    <x v="1"/>
    <n v="4"/>
    <n v="50"/>
    <n v="12.5"/>
    <n v="200"/>
    <x v="0"/>
    <n v="6"/>
    <x v="11"/>
    <n v="19"/>
    <x v="5"/>
    <x v="3"/>
    <n v="187.5"/>
    <n v="0.9375"/>
    <n v="1"/>
  </r>
  <r>
    <n v="284"/>
    <d v="2022-11-12T00:00:00"/>
    <d v="1899-12-30T09:17:00"/>
    <n v="129"/>
    <x v="0"/>
    <x v="22"/>
    <x v="0"/>
    <n v="4"/>
    <n v="50"/>
    <n v="20.5"/>
    <n v="200"/>
    <x v="0"/>
    <n v="11"/>
    <x v="0"/>
    <n v="12"/>
    <x v="0"/>
    <x v="0"/>
    <n v="179.5"/>
    <n v="0.89749999999999996"/>
    <n v="1"/>
  </r>
  <r>
    <n v="434"/>
    <d v="2022-10-26T00:00:00"/>
    <d v="1899-12-30T06:09:00"/>
    <n v="50"/>
    <x v="1"/>
    <x v="22"/>
    <x v="2"/>
    <n v="2"/>
    <n v="25"/>
    <n v="8.25"/>
    <n v="50"/>
    <x v="0"/>
    <n v="10"/>
    <x v="5"/>
    <n v="26"/>
    <x v="4"/>
    <x v="0"/>
    <n v="41.75"/>
    <n v="0.83499999999999996"/>
    <n v="0"/>
  </r>
  <r>
    <n v="775"/>
    <d v="2022-05-06T00:00:00"/>
    <d v="1899-12-30T11:07:00"/>
    <n v="98"/>
    <x v="1"/>
    <x v="1"/>
    <x v="2"/>
    <n v="4"/>
    <n v="25"/>
    <n v="9.5"/>
    <n v="100"/>
    <x v="0"/>
    <n v="5"/>
    <x v="7"/>
    <n v="6"/>
    <x v="3"/>
    <x v="3"/>
    <n v="90.5"/>
    <n v="0.90500000000000003"/>
    <n v="0"/>
  </r>
  <r>
    <n v="977"/>
    <d v="2022-07-26T00:00:00"/>
    <d v="1899-12-30T08:35:00"/>
    <n v="46"/>
    <x v="1"/>
    <x v="39"/>
    <x v="2"/>
    <n v="3"/>
    <n v="25"/>
    <n v="13.75"/>
    <n v="75"/>
    <x v="0"/>
    <n v="7"/>
    <x v="1"/>
    <n v="26"/>
    <x v="6"/>
    <x v="1"/>
    <n v="61.25"/>
    <n v="0.81666666700000001"/>
    <n v="0"/>
  </r>
  <r>
    <n v="1284"/>
    <d v="2022-12-16T00:00:00"/>
    <d v="1899-12-30T11:43:00"/>
    <n v="145"/>
    <x v="0"/>
    <x v="22"/>
    <x v="0"/>
    <n v="4"/>
    <n v="50"/>
    <n v="18"/>
    <n v="200"/>
    <x v="0"/>
    <n v="12"/>
    <x v="2"/>
    <n v="16"/>
    <x v="3"/>
    <x v="0"/>
    <n v="182"/>
    <n v="0.91"/>
    <n v="1"/>
  </r>
  <r>
    <n v="1434"/>
    <d v="2022-02-04T00:00:00"/>
    <d v="1899-12-30T10:02:00"/>
    <n v="147"/>
    <x v="1"/>
    <x v="22"/>
    <x v="2"/>
    <n v="2"/>
    <n v="25"/>
    <n v="7"/>
    <n v="50"/>
    <x v="0"/>
    <n v="2"/>
    <x v="10"/>
    <n v="4"/>
    <x v="3"/>
    <x v="2"/>
    <n v="43"/>
    <n v="0.86"/>
    <n v="0"/>
  </r>
  <r>
    <n v="1775"/>
    <d v="2022-12-18T00:00:00"/>
    <d v="1899-12-30T08:04:00"/>
    <n v="78"/>
    <x v="1"/>
    <x v="1"/>
    <x v="2"/>
    <n v="4"/>
    <n v="25"/>
    <n v="13.75"/>
    <n v="100"/>
    <x v="0"/>
    <n v="12"/>
    <x v="2"/>
    <n v="18"/>
    <x v="5"/>
    <x v="0"/>
    <n v="86.25"/>
    <n v="0.86250000000000004"/>
    <n v="0"/>
  </r>
  <r>
    <n v="1977"/>
    <d v="2022-08-05T00:00:00"/>
    <d v="1899-12-30T10:46:00"/>
    <n v="63"/>
    <x v="1"/>
    <x v="39"/>
    <x v="2"/>
    <n v="3"/>
    <n v="25"/>
    <n v="12"/>
    <n v="75"/>
    <x v="0"/>
    <n v="8"/>
    <x v="4"/>
    <n v="5"/>
    <x v="3"/>
    <x v="1"/>
    <n v="63"/>
    <n v="0.84"/>
    <n v="0"/>
  </r>
  <r>
    <n v="649"/>
    <d v="2022-06-21T00:00:00"/>
    <d v="1899-12-30T08:17:00"/>
    <n v="44"/>
    <x v="1"/>
    <x v="43"/>
    <x v="0"/>
    <n v="2"/>
    <n v="300"/>
    <n v="135"/>
    <n v="600"/>
    <x v="0"/>
    <n v="6"/>
    <x v="11"/>
    <n v="21"/>
    <x v="6"/>
    <x v="3"/>
    <n v="465"/>
    <n v="0.77500000000000002"/>
    <n v="1"/>
  </r>
  <r>
    <n v="1649"/>
    <d v="2022-10-21T00:00:00"/>
    <d v="1899-12-30T07:44:00"/>
    <n v="72"/>
    <x v="1"/>
    <x v="43"/>
    <x v="0"/>
    <n v="2"/>
    <n v="300"/>
    <n v="75"/>
    <n v="600"/>
    <x v="0"/>
    <n v="10"/>
    <x v="5"/>
    <n v="21"/>
    <x v="3"/>
    <x v="0"/>
    <n v="525"/>
    <n v="0.875"/>
    <n v="1"/>
  </r>
  <r>
    <n v="54"/>
    <d v="2022-10-20T00:00:00"/>
    <d v="1899-12-30T10:17:00"/>
    <n v="142"/>
    <x v="1"/>
    <x v="9"/>
    <x v="2"/>
    <n v="3"/>
    <n v="500"/>
    <n v="200"/>
    <n v="1500"/>
    <x v="0"/>
    <n v="10"/>
    <x v="5"/>
    <n v="20"/>
    <x v="2"/>
    <x v="0"/>
    <n v="1300"/>
    <n v="0.86666666699999995"/>
    <n v="1"/>
  </r>
  <r>
    <n v="68"/>
    <d v="2022-12-15T00:00:00"/>
    <d v="1899-12-30T09:06:00"/>
    <n v="146"/>
    <x v="0"/>
    <x v="38"/>
    <x v="2"/>
    <n v="1"/>
    <n v="300"/>
    <n v="84"/>
    <n v="300"/>
    <x v="0"/>
    <n v="12"/>
    <x v="2"/>
    <n v="15"/>
    <x v="2"/>
    <x v="0"/>
    <n v="216"/>
    <n v="0.72"/>
    <n v="1"/>
  </r>
  <r>
    <n v="192"/>
    <d v="2022-11-08T00:00:00"/>
    <d v="1899-12-30T08:05:00"/>
    <n v="134"/>
    <x v="0"/>
    <x v="44"/>
    <x v="1"/>
    <n v="2"/>
    <n v="50"/>
    <n v="13"/>
    <n v="100"/>
    <x v="0"/>
    <n v="11"/>
    <x v="0"/>
    <n v="8"/>
    <x v="6"/>
    <x v="0"/>
    <n v="87"/>
    <n v="0.87"/>
    <n v="0"/>
  </r>
  <r>
    <n v="1054"/>
    <d v="2022-01-10T00:00:00"/>
    <d v="1899-12-30T09:24:00"/>
    <n v="49"/>
    <x v="1"/>
    <x v="9"/>
    <x v="2"/>
    <n v="3"/>
    <n v="500"/>
    <n v="140"/>
    <n v="1500"/>
    <x v="0"/>
    <n v="1"/>
    <x v="3"/>
    <n v="10"/>
    <x v="1"/>
    <x v="2"/>
    <n v="1360"/>
    <n v="0.90666666699999998"/>
    <n v="1"/>
  </r>
  <r>
    <n v="1068"/>
    <d v="2022-09-14T00:00:00"/>
    <d v="1899-12-30T10:11:00"/>
    <n v="136"/>
    <x v="0"/>
    <x v="38"/>
    <x v="2"/>
    <n v="1"/>
    <n v="300"/>
    <n v="111"/>
    <n v="300"/>
    <x v="0"/>
    <n v="9"/>
    <x v="9"/>
    <n v="14"/>
    <x v="4"/>
    <x v="1"/>
    <n v="189"/>
    <n v="0.63"/>
    <n v="1"/>
  </r>
  <r>
    <n v="1192"/>
    <d v="2022-03-29T00:00:00"/>
    <d v="1899-12-30T08:41:00"/>
    <n v="37"/>
    <x v="0"/>
    <x v="44"/>
    <x v="1"/>
    <n v="2"/>
    <n v="50"/>
    <n v="20.5"/>
    <n v="100"/>
    <x v="0"/>
    <n v="3"/>
    <x v="8"/>
    <n v="29"/>
    <x v="6"/>
    <x v="2"/>
    <n v="79.5"/>
    <n v="0.79500000000000004"/>
    <n v="0"/>
  </r>
  <r>
    <n v="331"/>
    <d v="2022-08-16T00:00:00"/>
    <d v="1899-12-30T08:33:00"/>
    <n v="28"/>
    <x v="0"/>
    <x v="32"/>
    <x v="2"/>
    <n v="3"/>
    <n v="30"/>
    <n v="10.199999999999999"/>
    <n v="90"/>
    <x v="0"/>
    <n v="8"/>
    <x v="4"/>
    <n v="16"/>
    <x v="6"/>
    <x v="1"/>
    <n v="79.8"/>
    <n v="0.88666666699999996"/>
    <n v="0"/>
  </r>
  <r>
    <n v="346"/>
    <d v="2022-09-05T00:00:00"/>
    <d v="1899-12-30T06:54:00"/>
    <n v="38"/>
    <x v="0"/>
    <x v="26"/>
    <x v="0"/>
    <n v="2"/>
    <n v="500"/>
    <n v="215"/>
    <n v="1000"/>
    <x v="0"/>
    <n v="9"/>
    <x v="9"/>
    <n v="5"/>
    <x v="1"/>
    <x v="1"/>
    <n v="785"/>
    <n v="0.78500000000000003"/>
    <n v="1"/>
  </r>
  <r>
    <n v="657"/>
    <d v="2022-01-29T00:00:00"/>
    <d v="1899-12-30T08:53:00"/>
    <n v="46"/>
    <x v="0"/>
    <x v="2"/>
    <x v="0"/>
    <n v="1"/>
    <n v="25"/>
    <n v="8"/>
    <n v="25"/>
    <x v="0"/>
    <n v="1"/>
    <x v="3"/>
    <n v="29"/>
    <x v="0"/>
    <x v="2"/>
    <n v="17"/>
    <n v="0.68"/>
    <n v="0"/>
  </r>
  <r>
    <n v="732"/>
    <d v="2022-10-13T00:00:00"/>
    <d v="1899-12-30T08:45:00"/>
    <n v="136"/>
    <x v="0"/>
    <x v="45"/>
    <x v="2"/>
    <n v="2"/>
    <n v="500"/>
    <n v="250"/>
    <n v="1000"/>
    <x v="0"/>
    <n v="10"/>
    <x v="5"/>
    <n v="13"/>
    <x v="2"/>
    <x v="0"/>
    <n v="750"/>
    <n v="0.75"/>
    <n v="1"/>
  </r>
  <r>
    <n v="972"/>
    <d v="2022-08-16T00:00:00"/>
    <d v="1899-12-30T11:42:00"/>
    <n v="139"/>
    <x v="0"/>
    <x v="28"/>
    <x v="1"/>
    <n v="4"/>
    <n v="25"/>
    <n v="6.75"/>
    <n v="100"/>
    <x v="0"/>
    <n v="8"/>
    <x v="4"/>
    <n v="16"/>
    <x v="6"/>
    <x v="1"/>
    <n v="93.25"/>
    <n v="0.9325"/>
    <n v="0"/>
  </r>
  <r>
    <n v="1331"/>
    <d v="2022-05-15T00:00:00"/>
    <d v="1899-12-30T09:29:00"/>
    <n v="36"/>
    <x v="0"/>
    <x v="32"/>
    <x v="2"/>
    <n v="3"/>
    <n v="30"/>
    <n v="13.8"/>
    <n v="90"/>
    <x v="0"/>
    <n v="5"/>
    <x v="7"/>
    <n v="15"/>
    <x v="5"/>
    <x v="3"/>
    <n v="76.2"/>
    <n v="0.84666666700000004"/>
    <n v="0"/>
  </r>
  <r>
    <n v="1346"/>
    <d v="2022-04-10T00:00:00"/>
    <d v="1899-12-30T10:01:00"/>
    <n v="112"/>
    <x v="0"/>
    <x v="26"/>
    <x v="0"/>
    <n v="2"/>
    <n v="500"/>
    <n v="130"/>
    <n v="1000"/>
    <x v="0"/>
    <n v="4"/>
    <x v="6"/>
    <n v="10"/>
    <x v="5"/>
    <x v="3"/>
    <n v="870"/>
    <n v="0.87"/>
    <n v="1"/>
  </r>
  <r>
    <n v="1657"/>
    <d v="2022-08-09T00:00:00"/>
    <d v="1899-12-30T10:05:00"/>
    <n v="61"/>
    <x v="0"/>
    <x v="2"/>
    <x v="0"/>
    <n v="1"/>
    <n v="25"/>
    <n v="8"/>
    <n v="25"/>
    <x v="0"/>
    <n v="8"/>
    <x v="4"/>
    <n v="9"/>
    <x v="6"/>
    <x v="1"/>
    <n v="17"/>
    <n v="0.68"/>
    <n v="0"/>
  </r>
  <r>
    <n v="1732"/>
    <d v="2022-02-25T00:00:00"/>
    <d v="1899-12-30T07:05:00"/>
    <n v="55"/>
    <x v="0"/>
    <x v="45"/>
    <x v="2"/>
    <n v="2"/>
    <n v="500"/>
    <n v="215"/>
    <n v="1000"/>
    <x v="0"/>
    <n v="2"/>
    <x v="10"/>
    <n v="25"/>
    <x v="3"/>
    <x v="2"/>
    <n v="785"/>
    <n v="0.78500000000000003"/>
    <n v="1"/>
  </r>
  <r>
    <n v="1972"/>
    <d v="2022-12-21T00:00:00"/>
    <d v="1899-12-30T06:39:00"/>
    <n v="5"/>
    <x v="0"/>
    <x v="28"/>
    <x v="1"/>
    <n v="4"/>
    <n v="25"/>
    <n v="9.25"/>
    <n v="100"/>
    <x v="0"/>
    <n v="12"/>
    <x v="2"/>
    <n v="21"/>
    <x v="4"/>
    <x v="0"/>
    <n v="90.75"/>
    <n v="0.90749999999999997"/>
    <n v="0"/>
  </r>
  <r>
    <n v="714"/>
    <d v="2022-10-29T00:00:00"/>
    <d v="1899-12-30T08:50:00"/>
    <n v="20"/>
    <x v="1"/>
    <x v="18"/>
    <x v="0"/>
    <n v="1"/>
    <n v="500"/>
    <n v="190"/>
    <n v="500"/>
    <x v="0"/>
    <n v="10"/>
    <x v="5"/>
    <n v="29"/>
    <x v="0"/>
    <x v="0"/>
    <n v="310"/>
    <n v="0.62"/>
    <n v="1"/>
  </r>
  <r>
    <n v="1714"/>
    <d v="2022-11-23T00:00:00"/>
    <d v="1899-12-30T06:07:00"/>
    <n v="111"/>
    <x v="1"/>
    <x v="18"/>
    <x v="0"/>
    <n v="1"/>
    <n v="500"/>
    <n v="245"/>
    <n v="500"/>
    <x v="0"/>
    <n v="11"/>
    <x v="0"/>
    <n v="23"/>
    <x v="4"/>
    <x v="0"/>
    <n v="255"/>
    <n v="0.51"/>
    <n v="1"/>
  </r>
  <r>
    <n v="193"/>
    <d v="2022-03-27T00:00:00"/>
    <d v="1899-12-30T10:40:00"/>
    <n v="55"/>
    <x v="0"/>
    <x v="39"/>
    <x v="1"/>
    <n v="3"/>
    <n v="500"/>
    <n v="180"/>
    <n v="1500"/>
    <x v="0"/>
    <n v="3"/>
    <x v="8"/>
    <n v="27"/>
    <x v="5"/>
    <x v="2"/>
    <n v="1320"/>
    <n v="0.88"/>
    <n v="1"/>
  </r>
  <r>
    <n v="577"/>
    <d v="2022-04-21T00:00:00"/>
    <d v="1899-12-30T11:55:00"/>
    <n v="45"/>
    <x v="0"/>
    <x v="40"/>
    <x v="1"/>
    <n v="4"/>
    <n v="500"/>
    <n v="215"/>
    <n v="2000"/>
    <x v="0"/>
    <n v="4"/>
    <x v="6"/>
    <n v="21"/>
    <x v="2"/>
    <x v="3"/>
    <n v="1785"/>
    <n v="0.89249999999999996"/>
    <n v="1"/>
  </r>
  <r>
    <n v="848"/>
    <d v="2022-01-24T00:00:00"/>
    <d v="1899-12-30T10:46:00"/>
    <n v="15"/>
    <x v="1"/>
    <x v="15"/>
    <x v="0"/>
    <n v="3"/>
    <n v="25"/>
    <n v="9.75"/>
    <n v="75"/>
    <x v="0"/>
    <n v="1"/>
    <x v="3"/>
    <n v="24"/>
    <x v="1"/>
    <x v="2"/>
    <n v="65.25"/>
    <n v="0.87"/>
    <n v="0"/>
  </r>
  <r>
    <n v="945"/>
    <d v="2022-10-01T00:00:00"/>
    <d v="1899-12-30T10:01:00"/>
    <n v="120"/>
    <x v="0"/>
    <x v="7"/>
    <x v="1"/>
    <n v="1"/>
    <n v="25"/>
    <n v="13.25"/>
    <n v="25"/>
    <x v="0"/>
    <n v="10"/>
    <x v="5"/>
    <n v="1"/>
    <x v="0"/>
    <x v="0"/>
    <n v="11.75"/>
    <n v="0.47"/>
    <n v="0"/>
  </r>
  <r>
    <n v="1193"/>
    <d v="2022-05-11T00:00:00"/>
    <d v="1899-12-30T11:31:00"/>
    <n v="50"/>
    <x v="0"/>
    <x v="39"/>
    <x v="1"/>
    <n v="3"/>
    <n v="500"/>
    <n v="145"/>
    <n v="1500"/>
    <x v="0"/>
    <n v="5"/>
    <x v="7"/>
    <n v="11"/>
    <x v="4"/>
    <x v="3"/>
    <n v="1355"/>
    <n v="0.90333333299999996"/>
    <n v="1"/>
  </r>
  <r>
    <n v="1577"/>
    <d v="2022-09-11T00:00:00"/>
    <d v="1899-12-30T06:22:00"/>
    <n v="145"/>
    <x v="0"/>
    <x v="40"/>
    <x v="1"/>
    <n v="4"/>
    <n v="500"/>
    <n v="160"/>
    <n v="2000"/>
    <x v="0"/>
    <n v="9"/>
    <x v="9"/>
    <n v="11"/>
    <x v="5"/>
    <x v="1"/>
    <n v="1840"/>
    <n v="0.92"/>
    <n v="1"/>
  </r>
  <r>
    <n v="1848"/>
    <d v="2022-12-27T00:00:00"/>
    <d v="1899-12-30T10:16:00"/>
    <n v="63"/>
    <x v="1"/>
    <x v="15"/>
    <x v="0"/>
    <n v="3"/>
    <n v="25"/>
    <n v="12.5"/>
    <n v="75"/>
    <x v="0"/>
    <n v="12"/>
    <x v="2"/>
    <n v="27"/>
    <x v="6"/>
    <x v="0"/>
    <n v="62.5"/>
    <n v="0.83333333300000001"/>
    <n v="0"/>
  </r>
  <r>
    <n v="1945"/>
    <d v="2022-04-19T00:00:00"/>
    <d v="1899-12-30T09:55:00"/>
    <n v="33"/>
    <x v="0"/>
    <x v="7"/>
    <x v="1"/>
    <n v="1"/>
    <n v="25"/>
    <n v="10.75"/>
    <n v="25"/>
    <x v="0"/>
    <n v="4"/>
    <x v="6"/>
    <n v="19"/>
    <x v="6"/>
    <x v="3"/>
    <n v="14.25"/>
    <n v="0.56999999999999995"/>
    <n v="0"/>
  </r>
  <r>
    <n v="11"/>
    <d v="2022-02-27T00:00:00"/>
    <d v="1899-12-30T10:30:00"/>
    <n v="151"/>
    <x v="0"/>
    <x v="8"/>
    <x v="0"/>
    <n v="2"/>
    <n v="50"/>
    <n v="23.5"/>
    <n v="100"/>
    <x v="0"/>
    <n v="2"/>
    <x v="10"/>
    <n v="27"/>
    <x v="5"/>
    <x v="2"/>
    <n v="76.5"/>
    <n v="0.76500000000000001"/>
    <n v="0"/>
  </r>
  <r>
    <n v="821"/>
    <d v="2022-11-23T00:00:00"/>
    <d v="1899-12-30T11:27:00"/>
    <n v="40"/>
    <x v="0"/>
    <x v="28"/>
    <x v="2"/>
    <n v="1"/>
    <n v="300"/>
    <n v="129"/>
    <n v="300"/>
    <x v="0"/>
    <n v="11"/>
    <x v="0"/>
    <n v="23"/>
    <x v="4"/>
    <x v="0"/>
    <n v="171"/>
    <n v="0.56999999999999995"/>
    <n v="1"/>
  </r>
  <r>
    <n v="1011"/>
    <d v="2022-04-01T00:00:00"/>
    <d v="1899-12-30T06:48:00"/>
    <n v="15"/>
    <x v="0"/>
    <x v="8"/>
    <x v="0"/>
    <n v="2"/>
    <n v="50"/>
    <n v="19"/>
    <n v="100"/>
    <x v="0"/>
    <n v="4"/>
    <x v="6"/>
    <n v="1"/>
    <x v="3"/>
    <x v="3"/>
    <n v="81"/>
    <n v="0.81"/>
    <n v="0"/>
  </r>
  <r>
    <n v="1821"/>
    <d v="2022-10-03T00:00:00"/>
    <d v="1899-12-30T07:17:00"/>
    <n v="42"/>
    <x v="0"/>
    <x v="28"/>
    <x v="2"/>
    <n v="1"/>
    <n v="300"/>
    <n v="108"/>
    <n v="300"/>
    <x v="0"/>
    <n v="10"/>
    <x v="5"/>
    <n v="3"/>
    <x v="1"/>
    <x v="0"/>
    <n v="192"/>
    <n v="0.64"/>
    <n v="1"/>
  </r>
  <r>
    <n v="133"/>
    <d v="2022-06-23T00:00:00"/>
    <d v="1899-12-30T09:01:00"/>
    <n v="70"/>
    <x v="0"/>
    <x v="36"/>
    <x v="2"/>
    <n v="3"/>
    <n v="300"/>
    <n v="87"/>
    <n v="900"/>
    <x v="0"/>
    <n v="6"/>
    <x v="11"/>
    <n v="23"/>
    <x v="2"/>
    <x v="3"/>
    <n v="813"/>
    <n v="0.90333333299999996"/>
    <n v="1"/>
  </r>
  <r>
    <n v="1133"/>
    <d v="2022-03-05T00:00:00"/>
    <d v="1899-12-30T06:42:00"/>
    <n v="58"/>
    <x v="0"/>
    <x v="36"/>
    <x v="2"/>
    <n v="3"/>
    <n v="300"/>
    <n v="159"/>
    <n v="900"/>
    <x v="0"/>
    <n v="3"/>
    <x v="8"/>
    <n v="5"/>
    <x v="0"/>
    <x v="2"/>
    <n v="741"/>
    <n v="0.823333333"/>
    <n v="1"/>
  </r>
  <r>
    <n v="16"/>
    <d v="2022-06-25T00:00:00"/>
    <d v="1899-12-30T10:33:00"/>
    <n v="82"/>
    <x v="0"/>
    <x v="4"/>
    <x v="0"/>
    <n v="3"/>
    <n v="500"/>
    <n v="180"/>
    <n v="1500"/>
    <x v="0"/>
    <n v="6"/>
    <x v="11"/>
    <n v="25"/>
    <x v="0"/>
    <x v="3"/>
    <n v="1320"/>
    <n v="0.88"/>
    <n v="1"/>
  </r>
  <r>
    <n v="42"/>
    <d v="2022-12-08T00:00:00"/>
    <d v="1899-12-30T08:29:00"/>
    <n v="63"/>
    <x v="0"/>
    <x v="30"/>
    <x v="0"/>
    <n v="3"/>
    <n v="300"/>
    <n v="147"/>
    <n v="900"/>
    <x v="0"/>
    <n v="12"/>
    <x v="2"/>
    <n v="8"/>
    <x v="2"/>
    <x v="0"/>
    <n v="753"/>
    <n v="0.83666666700000003"/>
    <n v="1"/>
  </r>
  <r>
    <n v="292"/>
    <d v="2022-10-10T00:00:00"/>
    <d v="1899-12-30T06:33:00"/>
    <n v="111"/>
    <x v="0"/>
    <x v="36"/>
    <x v="1"/>
    <n v="4"/>
    <n v="300"/>
    <n v="141"/>
    <n v="1200"/>
    <x v="0"/>
    <n v="10"/>
    <x v="5"/>
    <n v="10"/>
    <x v="1"/>
    <x v="0"/>
    <n v="1059"/>
    <n v="0.88249999999999995"/>
    <n v="1"/>
  </r>
  <r>
    <n v="416"/>
    <d v="2022-08-21T00:00:00"/>
    <d v="1899-12-30T09:29:00"/>
    <n v="55"/>
    <x v="0"/>
    <x v="21"/>
    <x v="2"/>
    <n v="4"/>
    <n v="500"/>
    <n v="245"/>
    <n v="2000"/>
    <x v="0"/>
    <n v="8"/>
    <x v="4"/>
    <n v="21"/>
    <x v="5"/>
    <x v="1"/>
    <n v="1755"/>
    <n v="0.87749999999999995"/>
    <n v="1"/>
  </r>
  <r>
    <n v="584"/>
    <d v="2022-12-31T00:00:00"/>
    <d v="1899-12-30T10:21:00"/>
    <n v="106"/>
    <x v="1"/>
    <x v="17"/>
    <x v="1"/>
    <n v="4"/>
    <n v="50"/>
    <n v="16.5"/>
    <n v="200"/>
    <x v="0"/>
    <n v="12"/>
    <x v="2"/>
    <n v="31"/>
    <x v="0"/>
    <x v="0"/>
    <n v="183.5"/>
    <n v="0.91749999999999998"/>
    <n v="1"/>
  </r>
  <r>
    <n v="861"/>
    <d v="2022-09-30T00:00:00"/>
    <d v="1899-12-30T08:57:00"/>
    <n v="22"/>
    <x v="1"/>
    <x v="0"/>
    <x v="0"/>
    <n v="3"/>
    <n v="30"/>
    <n v="9.6"/>
    <n v="90"/>
    <x v="0"/>
    <n v="9"/>
    <x v="9"/>
    <n v="30"/>
    <x v="3"/>
    <x v="1"/>
    <n v="80.400000000000006"/>
    <n v="0.89333333299999995"/>
    <n v="0"/>
  </r>
  <r>
    <n v="1016"/>
    <d v="2022-12-12T00:00:00"/>
    <d v="1899-12-30T07:39:00"/>
    <n v="52"/>
    <x v="0"/>
    <x v="4"/>
    <x v="0"/>
    <n v="3"/>
    <n v="500"/>
    <n v="200"/>
    <n v="1500"/>
    <x v="0"/>
    <n v="12"/>
    <x v="2"/>
    <n v="12"/>
    <x v="1"/>
    <x v="0"/>
    <n v="1300"/>
    <n v="0.86666666699999995"/>
    <n v="1"/>
  </r>
  <r>
    <n v="1042"/>
    <d v="2022-02-11T00:00:00"/>
    <d v="1899-12-30T06:21:00"/>
    <n v="7"/>
    <x v="0"/>
    <x v="30"/>
    <x v="0"/>
    <n v="3"/>
    <n v="300"/>
    <n v="150"/>
    <n v="900"/>
    <x v="0"/>
    <n v="2"/>
    <x v="10"/>
    <n v="11"/>
    <x v="3"/>
    <x v="2"/>
    <n v="750"/>
    <n v="0.83333333300000001"/>
    <n v="1"/>
  </r>
  <r>
    <n v="1292"/>
    <d v="2022-05-15T00:00:00"/>
    <d v="1899-12-30T08:20:00"/>
    <n v="88"/>
    <x v="0"/>
    <x v="36"/>
    <x v="1"/>
    <n v="4"/>
    <n v="300"/>
    <n v="90"/>
    <n v="1200"/>
    <x v="0"/>
    <n v="5"/>
    <x v="7"/>
    <n v="15"/>
    <x v="5"/>
    <x v="3"/>
    <n v="1110"/>
    <n v="0.92500000000000004"/>
    <n v="1"/>
  </r>
  <r>
    <n v="1416"/>
    <d v="2022-12-29T00:00:00"/>
    <d v="1899-12-30T10:47:00"/>
    <n v="111"/>
    <x v="0"/>
    <x v="21"/>
    <x v="2"/>
    <n v="4"/>
    <n v="500"/>
    <n v="125"/>
    <n v="2000"/>
    <x v="0"/>
    <n v="12"/>
    <x v="2"/>
    <n v="29"/>
    <x v="2"/>
    <x v="0"/>
    <n v="1875"/>
    <n v="0.9375"/>
    <n v="1"/>
  </r>
  <r>
    <n v="1584"/>
    <d v="2022-09-03T00:00:00"/>
    <d v="1899-12-30T11:07:00"/>
    <n v="62"/>
    <x v="1"/>
    <x v="17"/>
    <x v="1"/>
    <n v="4"/>
    <n v="50"/>
    <n v="16.5"/>
    <n v="200"/>
    <x v="0"/>
    <n v="9"/>
    <x v="9"/>
    <n v="3"/>
    <x v="0"/>
    <x v="1"/>
    <n v="183.5"/>
    <n v="0.91749999999999998"/>
    <n v="1"/>
  </r>
  <r>
    <n v="1861"/>
    <d v="2022-07-04T00:00:00"/>
    <d v="1899-12-30T10:41:00"/>
    <n v="145"/>
    <x v="1"/>
    <x v="0"/>
    <x v="0"/>
    <n v="3"/>
    <n v="30"/>
    <n v="10.199999999999999"/>
    <n v="90"/>
    <x v="0"/>
    <n v="7"/>
    <x v="1"/>
    <n v="4"/>
    <x v="1"/>
    <x v="1"/>
    <n v="79.8"/>
    <n v="0.88666666699999996"/>
    <n v="0"/>
  </r>
  <r>
    <n v="256"/>
    <d v="2022-01-09T00:00:00"/>
    <d v="1899-12-30T08:05:00"/>
    <n v="3"/>
    <x v="0"/>
    <x v="8"/>
    <x v="0"/>
    <n v="2"/>
    <n v="500"/>
    <n v="270"/>
    <n v="1000"/>
    <x v="0"/>
    <n v="1"/>
    <x v="3"/>
    <n v="9"/>
    <x v="5"/>
    <x v="2"/>
    <n v="730"/>
    <n v="0.73"/>
    <n v="1"/>
  </r>
  <r>
    <n v="1256"/>
    <d v="2022-11-05T00:00:00"/>
    <d v="1899-12-30T09:58:00"/>
    <n v="29"/>
    <x v="0"/>
    <x v="8"/>
    <x v="0"/>
    <n v="2"/>
    <n v="500"/>
    <n v="190"/>
    <n v="1000"/>
    <x v="0"/>
    <n v="11"/>
    <x v="0"/>
    <n v="5"/>
    <x v="0"/>
    <x v="0"/>
    <n v="810"/>
    <n v="0.81"/>
    <n v="1"/>
  </r>
  <r>
    <n v="44"/>
    <d v="2022-03-03T00:00:00"/>
    <d v="1899-12-30T11:07:00"/>
    <n v="93"/>
    <x v="1"/>
    <x v="30"/>
    <x v="0"/>
    <n v="1"/>
    <n v="25"/>
    <n v="11.75"/>
    <n v="25"/>
    <x v="0"/>
    <n v="3"/>
    <x v="8"/>
    <n v="3"/>
    <x v="2"/>
    <x v="2"/>
    <n v="13.25"/>
    <n v="0.53"/>
    <n v="0"/>
  </r>
  <r>
    <n v="257"/>
    <d v="2022-12-10T00:00:00"/>
    <d v="1899-12-30T08:49:00"/>
    <n v="130"/>
    <x v="0"/>
    <x v="4"/>
    <x v="1"/>
    <n v="4"/>
    <n v="500"/>
    <n v="165"/>
    <n v="2000"/>
    <x v="0"/>
    <n v="12"/>
    <x v="2"/>
    <n v="10"/>
    <x v="0"/>
    <x v="0"/>
    <n v="1835"/>
    <n v="0.91749999999999998"/>
    <n v="1"/>
  </r>
  <r>
    <n v="1044"/>
    <d v="2022-02-20T00:00:00"/>
    <d v="1899-12-30T09:08:00"/>
    <n v="70"/>
    <x v="1"/>
    <x v="30"/>
    <x v="0"/>
    <n v="1"/>
    <n v="25"/>
    <n v="7.5"/>
    <n v="25"/>
    <x v="0"/>
    <n v="2"/>
    <x v="10"/>
    <n v="20"/>
    <x v="5"/>
    <x v="2"/>
    <n v="17.5"/>
    <n v="0.7"/>
    <n v="0"/>
  </r>
  <r>
    <n v="1257"/>
    <d v="2022-05-10T00:00:00"/>
    <d v="1899-12-30T11:55:00"/>
    <n v="29"/>
    <x v="0"/>
    <x v="4"/>
    <x v="1"/>
    <n v="4"/>
    <n v="500"/>
    <n v="255"/>
    <n v="2000"/>
    <x v="0"/>
    <n v="5"/>
    <x v="7"/>
    <n v="10"/>
    <x v="6"/>
    <x v="3"/>
    <n v="1745"/>
    <n v="0.87250000000000005"/>
    <n v="1"/>
  </r>
  <r>
    <n v="268"/>
    <d v="2022-04-14T00:00:00"/>
    <d v="1899-12-30T08:26:00"/>
    <n v="93"/>
    <x v="1"/>
    <x v="32"/>
    <x v="2"/>
    <n v="1"/>
    <n v="30"/>
    <n v="8.6999999999999993"/>
    <n v="30"/>
    <x v="0"/>
    <n v="4"/>
    <x v="6"/>
    <n v="14"/>
    <x v="2"/>
    <x v="3"/>
    <n v="21.3"/>
    <n v="0.71"/>
    <n v="0"/>
  </r>
  <r>
    <n v="287"/>
    <d v="2022-08-26T00:00:00"/>
    <d v="1899-12-30T11:07:00"/>
    <n v="88"/>
    <x v="0"/>
    <x v="29"/>
    <x v="0"/>
    <n v="4"/>
    <n v="25"/>
    <n v="10"/>
    <n v="100"/>
    <x v="0"/>
    <n v="8"/>
    <x v="4"/>
    <n v="26"/>
    <x v="3"/>
    <x v="1"/>
    <n v="90"/>
    <n v="0.9"/>
    <n v="0"/>
  </r>
  <r>
    <n v="966"/>
    <d v="2022-11-07T00:00:00"/>
    <d v="1899-12-30T07:22:00"/>
    <n v="119"/>
    <x v="0"/>
    <x v="13"/>
    <x v="2"/>
    <n v="2"/>
    <n v="500"/>
    <n v="190"/>
    <n v="1000"/>
    <x v="0"/>
    <n v="11"/>
    <x v="0"/>
    <n v="7"/>
    <x v="1"/>
    <x v="0"/>
    <n v="810"/>
    <n v="0.81"/>
    <n v="1"/>
  </r>
  <r>
    <n v="1268"/>
    <d v="2022-06-09T00:00:00"/>
    <d v="1899-12-30T09:33:00"/>
    <n v="15"/>
    <x v="1"/>
    <x v="32"/>
    <x v="2"/>
    <n v="1"/>
    <n v="30"/>
    <n v="14.1"/>
    <n v="30"/>
    <x v="0"/>
    <n v="6"/>
    <x v="11"/>
    <n v="9"/>
    <x v="2"/>
    <x v="3"/>
    <n v="15.9"/>
    <n v="0.53"/>
    <n v="0"/>
  </r>
  <r>
    <n v="1287"/>
    <d v="2022-09-13T00:00:00"/>
    <d v="1899-12-30T08:03:00"/>
    <n v="120"/>
    <x v="0"/>
    <x v="29"/>
    <x v="0"/>
    <n v="4"/>
    <n v="25"/>
    <n v="7"/>
    <n v="100"/>
    <x v="0"/>
    <n v="9"/>
    <x v="9"/>
    <n v="13"/>
    <x v="6"/>
    <x v="1"/>
    <n v="93"/>
    <n v="0.93"/>
    <n v="0"/>
  </r>
  <r>
    <n v="1966"/>
    <d v="2022-07-20T00:00:00"/>
    <d v="1899-12-30T09:52:00"/>
    <n v="74"/>
    <x v="0"/>
    <x v="13"/>
    <x v="2"/>
    <n v="2"/>
    <n v="500"/>
    <n v="200"/>
    <n v="1000"/>
    <x v="0"/>
    <n v="7"/>
    <x v="1"/>
    <n v="20"/>
    <x v="4"/>
    <x v="1"/>
    <n v="800"/>
    <n v="0.8"/>
    <n v="1"/>
  </r>
  <r>
    <n v="70"/>
    <d v="2022-12-27T00:00:00"/>
    <d v="1899-12-30T10:48:00"/>
    <n v="147"/>
    <x v="1"/>
    <x v="22"/>
    <x v="0"/>
    <n v="1"/>
    <n v="300"/>
    <n v="84"/>
    <n v="300"/>
    <x v="0"/>
    <n v="12"/>
    <x v="2"/>
    <n v="27"/>
    <x v="6"/>
    <x v="0"/>
    <n v="216"/>
    <n v="0.72"/>
    <n v="1"/>
  </r>
  <r>
    <n v="371"/>
    <d v="2022-12-18T00:00:00"/>
    <d v="1899-12-30T10:01:00"/>
    <n v="32"/>
    <x v="1"/>
    <x v="36"/>
    <x v="1"/>
    <n v="1"/>
    <n v="25"/>
    <n v="13"/>
    <n v="25"/>
    <x v="0"/>
    <n v="12"/>
    <x v="2"/>
    <n v="18"/>
    <x v="5"/>
    <x v="0"/>
    <n v="12"/>
    <n v="0.48"/>
    <n v="0"/>
  </r>
  <r>
    <n v="900"/>
    <d v="2022-11-10T00:00:00"/>
    <d v="1899-12-30T08:41:00"/>
    <n v="130"/>
    <x v="0"/>
    <x v="40"/>
    <x v="0"/>
    <n v="2"/>
    <n v="30"/>
    <n v="15.6"/>
    <n v="60"/>
    <x v="0"/>
    <n v="11"/>
    <x v="0"/>
    <n v="10"/>
    <x v="2"/>
    <x v="0"/>
    <n v="44.4"/>
    <n v="0.74"/>
    <n v="0"/>
  </r>
  <r>
    <n v="1070"/>
    <d v="2022-07-14T00:00:00"/>
    <d v="1899-12-30T11:12:00"/>
    <n v="102"/>
    <x v="1"/>
    <x v="22"/>
    <x v="0"/>
    <n v="1"/>
    <n v="300"/>
    <n v="120"/>
    <n v="300"/>
    <x v="0"/>
    <n v="7"/>
    <x v="1"/>
    <n v="14"/>
    <x v="2"/>
    <x v="1"/>
    <n v="180"/>
    <n v="0.6"/>
    <n v="1"/>
  </r>
  <r>
    <n v="1371"/>
    <d v="2022-05-06T00:00:00"/>
    <d v="1899-12-30T06:52:00"/>
    <n v="41"/>
    <x v="1"/>
    <x v="36"/>
    <x v="1"/>
    <n v="1"/>
    <n v="25"/>
    <n v="13.5"/>
    <n v="25"/>
    <x v="0"/>
    <n v="5"/>
    <x v="7"/>
    <n v="6"/>
    <x v="3"/>
    <x v="3"/>
    <n v="11.5"/>
    <n v="0.46"/>
    <n v="0"/>
  </r>
  <r>
    <n v="1900"/>
    <d v="2022-01-21T00:00:00"/>
    <d v="1899-12-30T06:43:00"/>
    <n v="65"/>
    <x v="0"/>
    <x v="40"/>
    <x v="0"/>
    <n v="2"/>
    <n v="30"/>
    <n v="10.8"/>
    <n v="60"/>
    <x v="0"/>
    <n v="1"/>
    <x v="3"/>
    <n v="21"/>
    <x v="3"/>
    <x v="2"/>
    <n v="49.2"/>
    <n v="0.82"/>
    <n v="0"/>
  </r>
  <r>
    <n v="8"/>
    <d v="2022-12-27T00:00:00"/>
    <d v="1899-12-30T11:19:00"/>
    <n v="148"/>
    <x v="0"/>
    <x v="7"/>
    <x v="2"/>
    <n v="4"/>
    <n v="25"/>
    <n v="11"/>
    <n v="100"/>
    <x v="0"/>
    <n v="12"/>
    <x v="2"/>
    <n v="27"/>
    <x v="6"/>
    <x v="0"/>
    <n v="89"/>
    <n v="0.89"/>
    <n v="0"/>
  </r>
  <r>
    <n v="41"/>
    <d v="2022-10-11T00:00:00"/>
    <d v="1899-12-30T10:36:00"/>
    <n v="88"/>
    <x v="0"/>
    <x v="23"/>
    <x v="0"/>
    <n v="2"/>
    <n v="25"/>
    <n v="13.25"/>
    <n v="50"/>
    <x v="0"/>
    <n v="10"/>
    <x v="5"/>
    <n v="11"/>
    <x v="6"/>
    <x v="0"/>
    <n v="36.75"/>
    <n v="0.73499999999999999"/>
    <n v="0"/>
  </r>
  <r>
    <n v="454"/>
    <d v="2022-03-12T00:00:00"/>
    <d v="1899-12-30T07:20:00"/>
    <n v="13"/>
    <x v="1"/>
    <x v="1"/>
    <x v="1"/>
    <n v="1"/>
    <n v="25"/>
    <n v="13"/>
    <n v="25"/>
    <x v="0"/>
    <n v="3"/>
    <x v="8"/>
    <n v="12"/>
    <x v="0"/>
    <x v="2"/>
    <n v="12"/>
    <n v="0.48"/>
    <n v="0"/>
  </r>
  <r>
    <n v="780"/>
    <d v="2022-07-06T00:00:00"/>
    <d v="1899-12-30T11:30:00"/>
    <n v="107"/>
    <x v="0"/>
    <x v="41"/>
    <x v="2"/>
    <n v="2"/>
    <n v="25"/>
    <n v="13.25"/>
    <n v="50"/>
    <x v="0"/>
    <n v="7"/>
    <x v="1"/>
    <n v="6"/>
    <x v="4"/>
    <x v="1"/>
    <n v="36.75"/>
    <n v="0.73499999999999999"/>
    <n v="0"/>
  </r>
  <r>
    <n v="920"/>
    <d v="2022-08-20T00:00:00"/>
    <d v="1899-12-30T10:25:00"/>
    <n v="99"/>
    <x v="1"/>
    <x v="32"/>
    <x v="1"/>
    <n v="3"/>
    <n v="25"/>
    <n v="6.75"/>
    <n v="75"/>
    <x v="0"/>
    <n v="8"/>
    <x v="4"/>
    <n v="20"/>
    <x v="0"/>
    <x v="1"/>
    <n v="68.25"/>
    <n v="0.91"/>
    <n v="0"/>
  </r>
  <r>
    <n v="1008"/>
    <d v="2022-01-10T00:00:00"/>
    <d v="1899-12-30T08:51:00"/>
    <n v="116"/>
    <x v="0"/>
    <x v="7"/>
    <x v="2"/>
    <n v="4"/>
    <n v="25"/>
    <n v="13"/>
    <n v="100"/>
    <x v="0"/>
    <n v="1"/>
    <x v="3"/>
    <n v="10"/>
    <x v="1"/>
    <x v="2"/>
    <n v="87"/>
    <n v="0.87"/>
    <n v="0"/>
  </r>
  <r>
    <n v="1041"/>
    <d v="2022-05-10T00:00:00"/>
    <d v="1899-12-30T07:27:00"/>
    <n v="74"/>
    <x v="0"/>
    <x v="23"/>
    <x v="0"/>
    <n v="2"/>
    <n v="25"/>
    <n v="11"/>
    <n v="50"/>
    <x v="0"/>
    <n v="5"/>
    <x v="7"/>
    <n v="10"/>
    <x v="6"/>
    <x v="3"/>
    <n v="39"/>
    <n v="0.78"/>
    <n v="0"/>
  </r>
  <r>
    <n v="1454"/>
    <d v="2022-06-25T00:00:00"/>
    <d v="1899-12-30T11:18:00"/>
    <n v="22"/>
    <x v="1"/>
    <x v="1"/>
    <x v="1"/>
    <n v="1"/>
    <n v="25"/>
    <n v="6.75"/>
    <n v="25"/>
    <x v="0"/>
    <n v="6"/>
    <x v="11"/>
    <n v="25"/>
    <x v="0"/>
    <x v="3"/>
    <n v="18.25"/>
    <n v="0.73"/>
    <n v="0"/>
  </r>
  <r>
    <n v="1780"/>
    <d v="2022-12-11T00:00:00"/>
    <d v="1899-12-30T10:00:00"/>
    <n v="32"/>
    <x v="0"/>
    <x v="41"/>
    <x v="2"/>
    <n v="2"/>
    <n v="25"/>
    <n v="10.5"/>
    <n v="50"/>
    <x v="0"/>
    <n v="12"/>
    <x v="2"/>
    <n v="11"/>
    <x v="5"/>
    <x v="0"/>
    <n v="39.5"/>
    <n v="0.79"/>
    <n v="0"/>
  </r>
  <r>
    <n v="1920"/>
    <d v="2022-10-24T00:00:00"/>
    <d v="1899-12-30T08:33:00"/>
    <n v="23"/>
    <x v="1"/>
    <x v="32"/>
    <x v="1"/>
    <n v="3"/>
    <n v="25"/>
    <n v="9.25"/>
    <n v="75"/>
    <x v="0"/>
    <n v="10"/>
    <x v="5"/>
    <n v="24"/>
    <x v="1"/>
    <x v="0"/>
    <n v="65.75"/>
    <n v="0.87666666699999996"/>
    <n v="0"/>
  </r>
  <r>
    <n v="396"/>
    <d v="2022-12-15T00:00:00"/>
    <d v="1899-12-30T07:11:00"/>
    <n v="29"/>
    <x v="1"/>
    <x v="46"/>
    <x v="1"/>
    <n v="1"/>
    <n v="30"/>
    <n v="10.8"/>
    <n v="30"/>
    <x v="0"/>
    <n v="12"/>
    <x v="2"/>
    <n v="15"/>
    <x v="2"/>
    <x v="0"/>
    <n v="19.2"/>
    <n v="0.64"/>
    <n v="0"/>
  </r>
  <r>
    <n v="1396"/>
    <d v="2022-06-07T00:00:00"/>
    <d v="1899-12-30T06:23:00"/>
    <n v="9"/>
    <x v="1"/>
    <x v="46"/>
    <x v="1"/>
    <n v="1"/>
    <n v="30"/>
    <n v="8.4"/>
    <n v="30"/>
    <x v="0"/>
    <n v="6"/>
    <x v="11"/>
    <n v="7"/>
    <x v="6"/>
    <x v="3"/>
    <n v="21.6"/>
    <n v="0.72"/>
    <n v="0"/>
  </r>
  <r>
    <n v="168"/>
    <d v="2022-04-29T00:00:00"/>
    <d v="1899-12-30T09:20:00"/>
    <n v="138"/>
    <x v="0"/>
    <x v="21"/>
    <x v="0"/>
    <n v="1"/>
    <n v="300"/>
    <n v="102"/>
    <n v="300"/>
    <x v="0"/>
    <n v="4"/>
    <x v="6"/>
    <n v="29"/>
    <x v="3"/>
    <x v="3"/>
    <n v="198"/>
    <n v="0.66"/>
    <n v="1"/>
  </r>
  <r>
    <n v="400"/>
    <d v="2022-03-08T00:00:00"/>
    <d v="1899-12-30T09:52:00"/>
    <n v="2"/>
    <x v="0"/>
    <x v="21"/>
    <x v="0"/>
    <n v="4"/>
    <n v="50"/>
    <n v="24"/>
    <n v="200"/>
    <x v="0"/>
    <n v="3"/>
    <x v="8"/>
    <n v="8"/>
    <x v="6"/>
    <x v="2"/>
    <n v="176"/>
    <n v="0.88"/>
    <n v="1"/>
  </r>
  <r>
    <n v="611"/>
    <d v="2022-07-21T00:00:00"/>
    <d v="1899-12-30T08:13:00"/>
    <n v="11"/>
    <x v="0"/>
    <x v="12"/>
    <x v="1"/>
    <n v="3"/>
    <n v="500"/>
    <n v="180"/>
    <n v="1500"/>
    <x v="0"/>
    <n v="7"/>
    <x v="1"/>
    <n v="21"/>
    <x v="2"/>
    <x v="1"/>
    <n v="1320"/>
    <n v="0.88"/>
    <n v="1"/>
  </r>
  <r>
    <n v="800"/>
    <d v="2022-09-19T00:00:00"/>
    <d v="1899-12-30T07:33:00"/>
    <n v="111"/>
    <x v="0"/>
    <x v="37"/>
    <x v="0"/>
    <n v="4"/>
    <n v="300"/>
    <n v="87"/>
    <n v="1200"/>
    <x v="0"/>
    <n v="9"/>
    <x v="9"/>
    <n v="19"/>
    <x v="1"/>
    <x v="1"/>
    <n v="1113"/>
    <n v="0.92749999999999999"/>
    <n v="1"/>
  </r>
  <r>
    <n v="1168"/>
    <d v="2022-07-10T00:00:00"/>
    <d v="1899-12-30T07:56:00"/>
    <n v="68"/>
    <x v="0"/>
    <x v="21"/>
    <x v="0"/>
    <n v="1"/>
    <n v="300"/>
    <n v="150"/>
    <n v="300"/>
    <x v="0"/>
    <n v="7"/>
    <x v="1"/>
    <n v="10"/>
    <x v="5"/>
    <x v="1"/>
    <n v="150"/>
    <n v="0.5"/>
    <n v="1"/>
  </r>
  <r>
    <n v="1400"/>
    <d v="2022-09-12T00:00:00"/>
    <d v="1899-12-30T11:54:00"/>
    <n v="115"/>
    <x v="0"/>
    <x v="21"/>
    <x v="0"/>
    <n v="4"/>
    <n v="50"/>
    <n v="20"/>
    <n v="200"/>
    <x v="0"/>
    <n v="9"/>
    <x v="9"/>
    <n v="12"/>
    <x v="1"/>
    <x v="1"/>
    <n v="180"/>
    <n v="0.9"/>
    <n v="1"/>
  </r>
  <r>
    <n v="1611"/>
    <d v="2022-11-17T00:00:00"/>
    <d v="1899-12-30T07:30:00"/>
    <n v="125"/>
    <x v="0"/>
    <x v="12"/>
    <x v="1"/>
    <n v="3"/>
    <n v="500"/>
    <n v="180"/>
    <n v="1500"/>
    <x v="0"/>
    <n v="11"/>
    <x v="0"/>
    <n v="17"/>
    <x v="2"/>
    <x v="0"/>
    <n v="1320"/>
    <n v="0.88"/>
    <n v="1"/>
  </r>
  <r>
    <n v="1800"/>
    <d v="2022-08-21T00:00:00"/>
    <d v="1899-12-30T10:53:00"/>
    <n v="1"/>
    <x v="0"/>
    <x v="37"/>
    <x v="0"/>
    <n v="4"/>
    <n v="300"/>
    <n v="111"/>
    <n v="1200"/>
    <x v="0"/>
    <n v="8"/>
    <x v="4"/>
    <n v="21"/>
    <x v="5"/>
    <x v="1"/>
    <n v="1089"/>
    <n v="0.90749999999999997"/>
    <n v="1"/>
  </r>
  <r>
    <n v="272"/>
    <d v="2022-06-10T00:00:00"/>
    <d v="1899-12-30T11:57:00"/>
    <n v="112"/>
    <x v="1"/>
    <x v="45"/>
    <x v="2"/>
    <n v="2"/>
    <n v="50"/>
    <n v="27.5"/>
    <n v="100"/>
    <x v="0"/>
    <n v="6"/>
    <x v="11"/>
    <n v="10"/>
    <x v="3"/>
    <x v="3"/>
    <n v="72.5"/>
    <n v="0.72499999999999998"/>
    <n v="0"/>
  </r>
  <r>
    <n v="473"/>
    <d v="2022-09-25T00:00:00"/>
    <d v="1899-12-30T10:09:00"/>
    <n v="1"/>
    <x v="0"/>
    <x v="3"/>
    <x v="1"/>
    <n v="1"/>
    <n v="50"/>
    <n v="14.5"/>
    <n v="50"/>
    <x v="0"/>
    <n v="9"/>
    <x v="9"/>
    <n v="25"/>
    <x v="5"/>
    <x v="1"/>
    <n v="35.5"/>
    <n v="0.71"/>
    <n v="0"/>
  </r>
  <r>
    <n v="506"/>
    <d v="2022-04-29T00:00:00"/>
    <d v="1899-12-30T07:13:00"/>
    <n v="9"/>
    <x v="0"/>
    <x v="23"/>
    <x v="1"/>
    <n v="3"/>
    <n v="500"/>
    <n v="200"/>
    <n v="1500"/>
    <x v="0"/>
    <n v="4"/>
    <x v="6"/>
    <n v="29"/>
    <x v="3"/>
    <x v="3"/>
    <n v="1300"/>
    <n v="0.86666666699999995"/>
    <n v="1"/>
  </r>
  <r>
    <n v="766"/>
    <d v="2022-01-04T00:00:00"/>
    <d v="1899-12-30T08:02:00"/>
    <n v="128"/>
    <x v="0"/>
    <x v="9"/>
    <x v="2"/>
    <n v="3"/>
    <n v="300"/>
    <n v="165"/>
    <n v="900"/>
    <x v="0"/>
    <n v="1"/>
    <x v="3"/>
    <n v="4"/>
    <x v="6"/>
    <x v="2"/>
    <n v="735"/>
    <n v="0.81666666700000001"/>
    <n v="1"/>
  </r>
  <r>
    <n v="1272"/>
    <d v="2022-04-14T00:00:00"/>
    <d v="1899-12-30T11:59:00"/>
    <n v="66"/>
    <x v="1"/>
    <x v="45"/>
    <x v="2"/>
    <n v="2"/>
    <n v="50"/>
    <n v="17"/>
    <n v="100"/>
    <x v="0"/>
    <n v="4"/>
    <x v="6"/>
    <n v="14"/>
    <x v="2"/>
    <x v="3"/>
    <n v="83"/>
    <n v="0.83"/>
    <n v="0"/>
  </r>
  <r>
    <n v="1473"/>
    <d v="2022-03-19T00:00:00"/>
    <d v="1899-12-30T09:06:00"/>
    <n v="30"/>
    <x v="0"/>
    <x v="3"/>
    <x v="1"/>
    <n v="1"/>
    <n v="50"/>
    <n v="13"/>
    <n v="50"/>
    <x v="0"/>
    <n v="3"/>
    <x v="8"/>
    <n v="19"/>
    <x v="0"/>
    <x v="2"/>
    <n v="37"/>
    <n v="0.74"/>
    <n v="0"/>
  </r>
  <r>
    <n v="1506"/>
    <d v="2022-01-09T00:00:00"/>
    <d v="1899-12-30T07:31:00"/>
    <n v="52"/>
    <x v="0"/>
    <x v="23"/>
    <x v="1"/>
    <n v="3"/>
    <n v="500"/>
    <n v="245"/>
    <n v="1500"/>
    <x v="0"/>
    <n v="1"/>
    <x v="3"/>
    <n v="9"/>
    <x v="5"/>
    <x v="2"/>
    <n v="1255"/>
    <n v="0.83666666700000003"/>
    <n v="1"/>
  </r>
  <r>
    <n v="1766"/>
    <d v="2022-11-22T00:00:00"/>
    <d v="1899-12-30T06:08:00"/>
    <n v="6"/>
    <x v="0"/>
    <x v="9"/>
    <x v="2"/>
    <n v="3"/>
    <n v="300"/>
    <n v="129"/>
    <n v="900"/>
    <x v="0"/>
    <n v="11"/>
    <x v="0"/>
    <n v="22"/>
    <x v="6"/>
    <x v="0"/>
    <n v="771"/>
    <n v="0.85666666700000005"/>
    <n v="1"/>
  </r>
  <r>
    <n v="135"/>
    <d v="2022-04-18T00:00:00"/>
    <d v="1899-12-30T07:22:00"/>
    <n v="104"/>
    <x v="0"/>
    <x v="36"/>
    <x v="0"/>
    <n v="2"/>
    <n v="25"/>
    <n v="13"/>
    <n v="50"/>
    <x v="0"/>
    <n v="4"/>
    <x v="6"/>
    <n v="18"/>
    <x v="1"/>
    <x v="3"/>
    <n v="37"/>
    <n v="0.74"/>
    <n v="0"/>
  </r>
  <r>
    <n v="1135"/>
    <d v="2022-01-14T00:00:00"/>
    <d v="1899-12-30T08:16:00"/>
    <n v="124"/>
    <x v="0"/>
    <x v="36"/>
    <x v="0"/>
    <n v="2"/>
    <n v="25"/>
    <n v="12.5"/>
    <n v="50"/>
    <x v="0"/>
    <n v="1"/>
    <x v="3"/>
    <n v="14"/>
    <x v="3"/>
    <x v="2"/>
    <n v="37.5"/>
    <n v="0.75"/>
    <n v="0"/>
  </r>
  <r>
    <n v="2"/>
    <d v="2022-06-24T00:00:00"/>
    <d v="1899-12-30T10:07:00"/>
    <n v="104"/>
    <x v="1"/>
    <x v="6"/>
    <x v="0"/>
    <n v="2"/>
    <n v="500"/>
    <n v="135"/>
    <n v="1000"/>
    <x v="0"/>
    <n v="6"/>
    <x v="11"/>
    <n v="24"/>
    <x v="3"/>
    <x v="3"/>
    <n v="865"/>
    <n v="0.86499999999999999"/>
    <n v="1"/>
  </r>
  <r>
    <n v="158"/>
    <d v="2022-01-21T00:00:00"/>
    <d v="1899-12-30T11:38:00"/>
    <n v="141"/>
    <x v="1"/>
    <x v="47"/>
    <x v="2"/>
    <n v="2"/>
    <n v="300"/>
    <n v="132"/>
    <n v="600"/>
    <x v="0"/>
    <n v="1"/>
    <x v="3"/>
    <n v="21"/>
    <x v="3"/>
    <x v="2"/>
    <n v="468"/>
    <n v="0.78"/>
    <n v="1"/>
  </r>
  <r>
    <n v="185"/>
    <d v="2022-06-27T00:00:00"/>
    <d v="1899-12-30T09:48:00"/>
    <n v="57"/>
    <x v="0"/>
    <x v="24"/>
    <x v="0"/>
    <n v="1"/>
    <n v="25"/>
    <n v="7"/>
    <n v="25"/>
    <x v="0"/>
    <n v="6"/>
    <x v="11"/>
    <n v="27"/>
    <x v="1"/>
    <x v="3"/>
    <n v="18"/>
    <n v="0.72"/>
    <n v="0"/>
  </r>
  <r>
    <n v="433"/>
    <d v="2022-07-29T00:00:00"/>
    <d v="1899-12-30T08:48:00"/>
    <n v="144"/>
    <x v="0"/>
    <x v="33"/>
    <x v="1"/>
    <n v="4"/>
    <n v="50"/>
    <n v="20"/>
    <n v="200"/>
    <x v="0"/>
    <n v="7"/>
    <x v="1"/>
    <n v="29"/>
    <x v="3"/>
    <x v="1"/>
    <n v="180"/>
    <n v="0.9"/>
    <n v="1"/>
  </r>
  <r>
    <n v="1002"/>
    <d v="2022-03-02T00:00:00"/>
    <d v="1899-12-30T09:24:00"/>
    <n v="69"/>
    <x v="1"/>
    <x v="6"/>
    <x v="0"/>
    <n v="2"/>
    <n v="500"/>
    <n v="270"/>
    <n v="1000"/>
    <x v="0"/>
    <n v="3"/>
    <x v="8"/>
    <n v="2"/>
    <x v="4"/>
    <x v="2"/>
    <n v="730"/>
    <n v="0.73"/>
    <n v="1"/>
  </r>
  <r>
    <n v="1158"/>
    <d v="2022-02-24T00:00:00"/>
    <d v="1899-12-30T09:29:00"/>
    <n v="77"/>
    <x v="1"/>
    <x v="47"/>
    <x v="2"/>
    <n v="2"/>
    <n v="300"/>
    <n v="138"/>
    <n v="600"/>
    <x v="0"/>
    <n v="2"/>
    <x v="10"/>
    <n v="24"/>
    <x v="2"/>
    <x v="2"/>
    <n v="462"/>
    <n v="0.77"/>
    <n v="1"/>
  </r>
  <r>
    <n v="1185"/>
    <d v="2022-10-04T00:00:00"/>
    <d v="1899-12-30T10:28:00"/>
    <n v="153"/>
    <x v="0"/>
    <x v="24"/>
    <x v="0"/>
    <n v="1"/>
    <n v="25"/>
    <n v="10.25"/>
    <n v="25"/>
    <x v="0"/>
    <n v="10"/>
    <x v="5"/>
    <n v="4"/>
    <x v="6"/>
    <x v="0"/>
    <n v="14.75"/>
    <n v="0.59"/>
    <n v="0"/>
  </r>
  <r>
    <n v="1433"/>
    <d v="2022-01-16T00:00:00"/>
    <d v="1899-12-30T11:41:00"/>
    <n v="113"/>
    <x v="0"/>
    <x v="33"/>
    <x v="1"/>
    <n v="4"/>
    <n v="50"/>
    <n v="15.5"/>
    <n v="200"/>
    <x v="0"/>
    <n v="1"/>
    <x v="3"/>
    <n v="16"/>
    <x v="5"/>
    <x v="2"/>
    <n v="184.5"/>
    <n v="0.92249999999999999"/>
    <n v="1"/>
  </r>
  <r>
    <n v="152"/>
    <d v="2022-06-16T00:00:00"/>
    <d v="1899-12-30T11:58:00"/>
    <n v="120"/>
    <x v="0"/>
    <x v="22"/>
    <x v="2"/>
    <n v="4"/>
    <n v="500"/>
    <n v="210"/>
    <n v="2000"/>
    <x v="0"/>
    <n v="6"/>
    <x v="11"/>
    <n v="16"/>
    <x v="2"/>
    <x v="3"/>
    <n v="1790"/>
    <n v="0.89500000000000002"/>
    <n v="1"/>
  </r>
  <r>
    <n v="753"/>
    <d v="2022-07-06T00:00:00"/>
    <d v="1899-12-30T10:07:00"/>
    <n v="70"/>
    <x v="1"/>
    <x v="37"/>
    <x v="0"/>
    <n v="1"/>
    <n v="30"/>
    <n v="15.9"/>
    <n v="30"/>
    <x v="0"/>
    <n v="7"/>
    <x v="1"/>
    <n v="6"/>
    <x v="4"/>
    <x v="1"/>
    <n v="14.1"/>
    <n v="0.47"/>
    <n v="0"/>
  </r>
  <r>
    <n v="763"/>
    <d v="2022-04-23T00:00:00"/>
    <d v="1899-12-30T09:43:00"/>
    <n v="58"/>
    <x v="0"/>
    <x v="23"/>
    <x v="0"/>
    <n v="2"/>
    <n v="25"/>
    <n v="11.5"/>
    <n v="50"/>
    <x v="0"/>
    <n v="4"/>
    <x v="6"/>
    <n v="23"/>
    <x v="0"/>
    <x v="3"/>
    <n v="38.5"/>
    <n v="0.77"/>
    <n v="0"/>
  </r>
  <r>
    <n v="932"/>
    <d v="2022-10-08T00:00:00"/>
    <d v="1899-12-30T08:33:00"/>
    <n v="120"/>
    <x v="1"/>
    <x v="14"/>
    <x v="1"/>
    <n v="4"/>
    <n v="25"/>
    <n v="7.75"/>
    <n v="100"/>
    <x v="0"/>
    <n v="10"/>
    <x v="5"/>
    <n v="8"/>
    <x v="0"/>
    <x v="0"/>
    <n v="92.25"/>
    <n v="0.92249999999999999"/>
    <n v="0"/>
  </r>
  <r>
    <n v="1152"/>
    <d v="2022-12-26T00:00:00"/>
    <d v="1899-12-30T07:48:00"/>
    <n v="87"/>
    <x v="0"/>
    <x v="22"/>
    <x v="2"/>
    <n v="4"/>
    <n v="500"/>
    <n v="170"/>
    <n v="2000"/>
    <x v="0"/>
    <n v="12"/>
    <x v="2"/>
    <n v="26"/>
    <x v="1"/>
    <x v="0"/>
    <n v="1830"/>
    <n v="0.91500000000000004"/>
    <n v="1"/>
  </r>
  <r>
    <n v="1753"/>
    <d v="2022-07-17T00:00:00"/>
    <d v="1899-12-30T07:40:00"/>
    <n v="28"/>
    <x v="1"/>
    <x v="37"/>
    <x v="0"/>
    <n v="1"/>
    <n v="30"/>
    <n v="10.5"/>
    <n v="30"/>
    <x v="0"/>
    <n v="7"/>
    <x v="1"/>
    <n v="17"/>
    <x v="5"/>
    <x v="1"/>
    <n v="19.5"/>
    <n v="0.65"/>
    <n v="0"/>
  </r>
  <r>
    <n v="1763"/>
    <d v="2022-06-30T00:00:00"/>
    <d v="1899-12-30T11:37:00"/>
    <n v="93"/>
    <x v="0"/>
    <x v="23"/>
    <x v="0"/>
    <n v="2"/>
    <n v="25"/>
    <n v="13.5"/>
    <n v="50"/>
    <x v="0"/>
    <n v="6"/>
    <x v="11"/>
    <n v="30"/>
    <x v="2"/>
    <x v="3"/>
    <n v="36.5"/>
    <n v="0.73"/>
    <n v="0"/>
  </r>
  <r>
    <n v="1932"/>
    <d v="2022-11-08T00:00:00"/>
    <d v="1899-12-30T07:07:00"/>
    <n v="96"/>
    <x v="1"/>
    <x v="14"/>
    <x v="1"/>
    <n v="4"/>
    <n v="25"/>
    <n v="6.25"/>
    <n v="100"/>
    <x v="0"/>
    <n v="11"/>
    <x v="0"/>
    <n v="8"/>
    <x v="6"/>
    <x v="0"/>
    <n v="93.75"/>
    <n v="0.9375"/>
    <n v="0"/>
  </r>
  <r>
    <n v="399"/>
    <d v="2022-12-07T00:00:00"/>
    <d v="1899-12-30T09:25:00"/>
    <n v="136"/>
    <x v="1"/>
    <x v="3"/>
    <x v="1"/>
    <n v="2"/>
    <n v="30"/>
    <n v="12.9"/>
    <n v="60"/>
    <x v="0"/>
    <n v="12"/>
    <x v="2"/>
    <n v="7"/>
    <x v="4"/>
    <x v="0"/>
    <n v="47.1"/>
    <n v="0.78500000000000003"/>
    <n v="0"/>
  </r>
  <r>
    <n v="500"/>
    <d v="2022-10-14T00:00:00"/>
    <d v="1899-12-30T06:11:00"/>
    <n v="120"/>
    <x v="1"/>
    <x v="13"/>
    <x v="1"/>
    <n v="4"/>
    <n v="25"/>
    <n v="11.5"/>
    <n v="100"/>
    <x v="0"/>
    <n v="10"/>
    <x v="5"/>
    <n v="14"/>
    <x v="3"/>
    <x v="0"/>
    <n v="88.5"/>
    <n v="0.88500000000000001"/>
    <n v="0"/>
  </r>
  <r>
    <n v="514"/>
    <d v="2022-11-04T00:00:00"/>
    <d v="1899-12-30T08:35:00"/>
    <n v="139"/>
    <x v="1"/>
    <x v="18"/>
    <x v="2"/>
    <n v="1"/>
    <n v="300"/>
    <n v="96"/>
    <n v="300"/>
    <x v="0"/>
    <n v="11"/>
    <x v="0"/>
    <n v="4"/>
    <x v="3"/>
    <x v="0"/>
    <n v="204"/>
    <n v="0.68"/>
    <n v="1"/>
  </r>
  <r>
    <n v="1399"/>
    <d v="2022-01-28T00:00:00"/>
    <d v="1899-12-30T09:32:00"/>
    <n v="15"/>
    <x v="1"/>
    <x v="3"/>
    <x v="1"/>
    <n v="2"/>
    <n v="30"/>
    <n v="16.2"/>
    <n v="60"/>
    <x v="0"/>
    <n v="1"/>
    <x v="3"/>
    <n v="28"/>
    <x v="3"/>
    <x v="2"/>
    <n v="43.8"/>
    <n v="0.73"/>
    <n v="0"/>
  </r>
  <r>
    <n v="1500"/>
    <d v="2022-04-20T00:00:00"/>
    <d v="1899-12-30T08:36:00"/>
    <n v="53"/>
    <x v="1"/>
    <x v="13"/>
    <x v="1"/>
    <n v="4"/>
    <n v="25"/>
    <n v="8.5"/>
    <n v="100"/>
    <x v="0"/>
    <n v="4"/>
    <x v="6"/>
    <n v="20"/>
    <x v="4"/>
    <x v="3"/>
    <n v="91.5"/>
    <n v="0.91500000000000004"/>
    <n v="0"/>
  </r>
  <r>
    <n v="1514"/>
    <d v="2022-07-12T00:00:00"/>
    <d v="1899-12-30T10:55:00"/>
    <n v="59"/>
    <x v="1"/>
    <x v="18"/>
    <x v="2"/>
    <n v="1"/>
    <n v="300"/>
    <n v="75"/>
    <n v="300"/>
    <x v="0"/>
    <n v="7"/>
    <x v="1"/>
    <n v="12"/>
    <x v="6"/>
    <x v="1"/>
    <n v="225"/>
    <n v="0.75"/>
    <n v="1"/>
  </r>
  <r>
    <n v="947"/>
    <d v="2022-07-31T00:00:00"/>
    <d v="1899-12-30T07:09:00"/>
    <n v="4"/>
    <x v="0"/>
    <x v="20"/>
    <x v="1"/>
    <n v="1"/>
    <n v="300"/>
    <n v="129"/>
    <n v="300"/>
    <x v="0"/>
    <n v="7"/>
    <x v="1"/>
    <n v="31"/>
    <x v="5"/>
    <x v="1"/>
    <n v="171"/>
    <n v="0.56999999999999995"/>
    <n v="1"/>
  </r>
  <r>
    <n v="1947"/>
    <d v="2022-03-05T00:00:00"/>
    <d v="1899-12-30T06:27:00"/>
    <n v="134"/>
    <x v="0"/>
    <x v="20"/>
    <x v="1"/>
    <n v="1"/>
    <n v="300"/>
    <n v="75"/>
    <n v="300"/>
    <x v="0"/>
    <n v="3"/>
    <x v="8"/>
    <n v="5"/>
    <x v="0"/>
    <x v="2"/>
    <n v="225"/>
    <n v="0.75"/>
    <n v="1"/>
  </r>
  <r>
    <n v="220"/>
    <d v="2022-05-07T00:00:00"/>
    <d v="1899-12-30T06:44:00"/>
    <n v="138"/>
    <x v="0"/>
    <x v="3"/>
    <x v="1"/>
    <n v="1"/>
    <n v="500"/>
    <n v="140"/>
    <n v="500"/>
    <x v="0"/>
    <n v="5"/>
    <x v="7"/>
    <n v="7"/>
    <x v="0"/>
    <x v="3"/>
    <n v="360"/>
    <n v="0.72"/>
    <n v="1"/>
  </r>
  <r>
    <n v="339"/>
    <d v="2022-08-18T00:00:00"/>
    <d v="1899-12-30T10:27:00"/>
    <n v="33"/>
    <x v="1"/>
    <x v="30"/>
    <x v="2"/>
    <n v="2"/>
    <n v="25"/>
    <n v="10.25"/>
    <n v="50"/>
    <x v="0"/>
    <n v="8"/>
    <x v="4"/>
    <n v="18"/>
    <x v="2"/>
    <x v="1"/>
    <n v="39.75"/>
    <n v="0.79500000000000004"/>
    <n v="0"/>
  </r>
  <r>
    <n v="785"/>
    <d v="2022-10-19T00:00:00"/>
    <d v="1899-12-30T06:09:00"/>
    <n v="88"/>
    <x v="1"/>
    <x v="16"/>
    <x v="1"/>
    <n v="4"/>
    <n v="50"/>
    <n v="13"/>
    <n v="200"/>
    <x v="0"/>
    <n v="10"/>
    <x v="5"/>
    <n v="19"/>
    <x v="4"/>
    <x v="0"/>
    <n v="187"/>
    <n v="0.93500000000000005"/>
    <n v="1"/>
  </r>
  <r>
    <n v="885"/>
    <d v="2022-09-17T00:00:00"/>
    <d v="1899-12-30T10:10:00"/>
    <n v="121"/>
    <x v="1"/>
    <x v="41"/>
    <x v="0"/>
    <n v="4"/>
    <n v="30"/>
    <n v="14.4"/>
    <n v="120"/>
    <x v="0"/>
    <n v="9"/>
    <x v="9"/>
    <n v="17"/>
    <x v="0"/>
    <x v="1"/>
    <n v="105.6"/>
    <n v="0.88"/>
    <n v="0"/>
  </r>
  <r>
    <n v="888"/>
    <d v="2022-12-01T00:00:00"/>
    <d v="1899-12-30T06:03:00"/>
    <n v="63"/>
    <x v="1"/>
    <x v="41"/>
    <x v="2"/>
    <n v="4"/>
    <n v="25"/>
    <n v="12.75"/>
    <n v="100"/>
    <x v="0"/>
    <n v="12"/>
    <x v="2"/>
    <n v="1"/>
    <x v="2"/>
    <x v="0"/>
    <n v="87.25"/>
    <n v="0.87250000000000005"/>
    <n v="0"/>
  </r>
  <r>
    <n v="1220"/>
    <d v="2022-06-29T00:00:00"/>
    <d v="1899-12-30T11:16:00"/>
    <n v="47"/>
    <x v="0"/>
    <x v="3"/>
    <x v="1"/>
    <n v="1"/>
    <n v="500"/>
    <n v="240"/>
    <n v="500"/>
    <x v="0"/>
    <n v="6"/>
    <x v="11"/>
    <n v="29"/>
    <x v="4"/>
    <x v="3"/>
    <n v="260"/>
    <n v="0.52"/>
    <n v="1"/>
  </r>
  <r>
    <n v="1339"/>
    <d v="2022-11-10T00:00:00"/>
    <d v="1899-12-30T10:34:00"/>
    <n v="132"/>
    <x v="1"/>
    <x v="30"/>
    <x v="2"/>
    <n v="2"/>
    <n v="25"/>
    <n v="7.5"/>
    <n v="50"/>
    <x v="0"/>
    <n v="11"/>
    <x v="0"/>
    <n v="10"/>
    <x v="2"/>
    <x v="0"/>
    <n v="42.5"/>
    <n v="0.85"/>
    <n v="0"/>
  </r>
  <r>
    <n v="1785"/>
    <d v="2022-02-20T00:00:00"/>
    <d v="1899-12-30T11:17:00"/>
    <n v="144"/>
    <x v="1"/>
    <x v="16"/>
    <x v="1"/>
    <n v="4"/>
    <n v="50"/>
    <n v="17"/>
    <n v="200"/>
    <x v="0"/>
    <n v="2"/>
    <x v="10"/>
    <n v="20"/>
    <x v="5"/>
    <x v="2"/>
    <n v="183"/>
    <n v="0.91500000000000004"/>
    <n v="1"/>
  </r>
  <r>
    <n v="1885"/>
    <d v="2022-11-09T00:00:00"/>
    <d v="1899-12-30T07:32:00"/>
    <n v="148"/>
    <x v="1"/>
    <x v="41"/>
    <x v="0"/>
    <n v="4"/>
    <n v="30"/>
    <n v="10.8"/>
    <n v="120"/>
    <x v="0"/>
    <n v="11"/>
    <x v="0"/>
    <n v="9"/>
    <x v="4"/>
    <x v="0"/>
    <n v="109.2"/>
    <n v="0.91"/>
    <n v="0"/>
  </r>
  <r>
    <n v="1888"/>
    <d v="2022-06-14T00:00:00"/>
    <d v="1899-12-30T08:10:00"/>
    <n v="49"/>
    <x v="1"/>
    <x v="41"/>
    <x v="2"/>
    <n v="4"/>
    <n v="25"/>
    <n v="12.5"/>
    <n v="100"/>
    <x v="0"/>
    <n v="6"/>
    <x v="11"/>
    <n v="14"/>
    <x v="6"/>
    <x v="3"/>
    <n v="87.5"/>
    <n v="0.875"/>
    <n v="0"/>
  </r>
  <r>
    <n v="621"/>
    <d v="2022-04-13T00:00:00"/>
    <d v="1899-12-30T09:55:00"/>
    <n v="138"/>
    <x v="1"/>
    <x v="2"/>
    <x v="1"/>
    <n v="2"/>
    <n v="500"/>
    <n v="275"/>
    <n v="1000"/>
    <x v="0"/>
    <n v="4"/>
    <x v="6"/>
    <n v="13"/>
    <x v="4"/>
    <x v="3"/>
    <n v="725"/>
    <n v="0.72499999999999998"/>
    <n v="1"/>
  </r>
  <r>
    <n v="1621"/>
    <d v="2022-09-22T00:00:00"/>
    <d v="1899-12-30T10:49:00"/>
    <n v="2"/>
    <x v="1"/>
    <x v="2"/>
    <x v="1"/>
    <n v="2"/>
    <n v="500"/>
    <n v="160"/>
    <n v="1000"/>
    <x v="0"/>
    <n v="9"/>
    <x v="9"/>
    <n v="22"/>
    <x v="2"/>
    <x v="1"/>
    <n v="840"/>
    <n v="0.84"/>
    <n v="1"/>
  </r>
  <r>
    <n v="52"/>
    <d v="2022-09-19T00:00:00"/>
    <d v="1899-12-30T09:42:00"/>
    <n v="55"/>
    <x v="1"/>
    <x v="31"/>
    <x v="1"/>
    <n v="1"/>
    <n v="300"/>
    <n v="111"/>
    <n v="300"/>
    <x v="0"/>
    <n v="9"/>
    <x v="9"/>
    <n v="19"/>
    <x v="1"/>
    <x v="1"/>
    <n v="189"/>
    <n v="0.63"/>
    <n v="1"/>
  </r>
  <r>
    <n v="536"/>
    <d v="2022-08-20T00:00:00"/>
    <d v="1899-12-30T06:25:00"/>
    <n v="17"/>
    <x v="1"/>
    <x v="46"/>
    <x v="1"/>
    <n v="4"/>
    <n v="30"/>
    <n v="8.6999999999999993"/>
    <n v="120"/>
    <x v="0"/>
    <n v="8"/>
    <x v="4"/>
    <n v="20"/>
    <x v="0"/>
    <x v="1"/>
    <n v="111.3"/>
    <n v="0.92749999999999999"/>
    <n v="0"/>
  </r>
  <r>
    <n v="1052"/>
    <d v="2022-02-12T00:00:00"/>
    <d v="1899-12-30T06:12:00"/>
    <n v="94"/>
    <x v="1"/>
    <x v="31"/>
    <x v="1"/>
    <n v="1"/>
    <n v="300"/>
    <n v="120"/>
    <n v="300"/>
    <x v="0"/>
    <n v="2"/>
    <x v="10"/>
    <n v="12"/>
    <x v="0"/>
    <x v="2"/>
    <n v="180"/>
    <n v="0.6"/>
    <n v="1"/>
  </r>
  <r>
    <n v="1536"/>
    <d v="2022-05-11T00:00:00"/>
    <d v="1899-12-30T07:23:00"/>
    <n v="14"/>
    <x v="1"/>
    <x v="46"/>
    <x v="1"/>
    <n v="4"/>
    <n v="30"/>
    <n v="13.5"/>
    <n v="120"/>
    <x v="0"/>
    <n v="5"/>
    <x v="7"/>
    <n v="11"/>
    <x v="4"/>
    <x v="3"/>
    <n v="106.5"/>
    <n v="0.88749999999999996"/>
    <n v="0"/>
  </r>
  <r>
    <n v="197"/>
    <d v="2022-04-03T00:00:00"/>
    <d v="1899-12-30T11:57:00"/>
    <n v="14"/>
    <x v="1"/>
    <x v="25"/>
    <x v="0"/>
    <n v="4"/>
    <n v="50"/>
    <n v="25.5"/>
    <n v="200"/>
    <x v="0"/>
    <n v="4"/>
    <x v="6"/>
    <n v="3"/>
    <x v="5"/>
    <x v="3"/>
    <n v="174.5"/>
    <n v="0.87250000000000005"/>
    <n v="1"/>
  </r>
  <r>
    <n v="750"/>
    <d v="2022-11-13T00:00:00"/>
    <d v="1899-12-30T07:33:00"/>
    <n v="69"/>
    <x v="1"/>
    <x v="39"/>
    <x v="0"/>
    <n v="3"/>
    <n v="25"/>
    <n v="8.75"/>
    <n v="75"/>
    <x v="0"/>
    <n v="11"/>
    <x v="0"/>
    <n v="13"/>
    <x v="5"/>
    <x v="0"/>
    <n v="66.25"/>
    <n v="0.88333333300000005"/>
    <n v="0"/>
  </r>
  <r>
    <n v="910"/>
    <d v="2022-08-21T00:00:00"/>
    <d v="1899-12-30T06:29:00"/>
    <n v="138"/>
    <x v="1"/>
    <x v="36"/>
    <x v="1"/>
    <n v="3"/>
    <n v="50"/>
    <n v="22.5"/>
    <n v="150"/>
    <x v="0"/>
    <n v="8"/>
    <x v="4"/>
    <n v="21"/>
    <x v="5"/>
    <x v="1"/>
    <n v="127.5"/>
    <n v="0.85"/>
    <n v="1"/>
  </r>
  <r>
    <n v="917"/>
    <d v="2022-02-15T00:00:00"/>
    <d v="1899-12-30T11:50:00"/>
    <n v="120"/>
    <x v="1"/>
    <x v="10"/>
    <x v="2"/>
    <n v="4"/>
    <n v="50"/>
    <n v="16.5"/>
    <n v="200"/>
    <x v="0"/>
    <n v="2"/>
    <x v="10"/>
    <n v="15"/>
    <x v="6"/>
    <x v="2"/>
    <n v="183.5"/>
    <n v="0.91749999999999998"/>
    <n v="1"/>
  </r>
  <r>
    <n v="1197"/>
    <d v="2022-08-13T00:00:00"/>
    <d v="1899-12-30T10:07:00"/>
    <n v="77"/>
    <x v="1"/>
    <x v="25"/>
    <x v="0"/>
    <n v="4"/>
    <n v="50"/>
    <n v="19"/>
    <n v="200"/>
    <x v="0"/>
    <n v="8"/>
    <x v="4"/>
    <n v="13"/>
    <x v="0"/>
    <x v="1"/>
    <n v="181"/>
    <n v="0.90500000000000003"/>
    <n v="1"/>
  </r>
  <r>
    <n v="1750"/>
    <d v="2022-01-20T00:00:00"/>
    <d v="1899-12-30T10:10:00"/>
    <n v="138"/>
    <x v="1"/>
    <x v="39"/>
    <x v="0"/>
    <n v="3"/>
    <n v="25"/>
    <n v="7.25"/>
    <n v="75"/>
    <x v="0"/>
    <n v="1"/>
    <x v="3"/>
    <n v="20"/>
    <x v="2"/>
    <x v="2"/>
    <n v="67.75"/>
    <n v="0.90333333299999996"/>
    <n v="0"/>
  </r>
  <r>
    <n v="1910"/>
    <d v="2022-10-09T00:00:00"/>
    <d v="1899-12-30T06:22:00"/>
    <n v="141"/>
    <x v="1"/>
    <x v="36"/>
    <x v="1"/>
    <n v="3"/>
    <n v="50"/>
    <n v="18"/>
    <n v="150"/>
    <x v="0"/>
    <n v="10"/>
    <x v="5"/>
    <n v="9"/>
    <x v="5"/>
    <x v="0"/>
    <n v="132"/>
    <n v="0.88"/>
    <n v="1"/>
  </r>
  <r>
    <n v="1917"/>
    <d v="2022-05-02T00:00:00"/>
    <d v="1899-12-30T07:17:00"/>
    <n v="52"/>
    <x v="1"/>
    <x v="10"/>
    <x v="2"/>
    <n v="4"/>
    <n v="50"/>
    <n v="24"/>
    <n v="200"/>
    <x v="0"/>
    <n v="5"/>
    <x v="7"/>
    <n v="2"/>
    <x v="1"/>
    <x v="3"/>
    <n v="176"/>
    <n v="0.88"/>
    <n v="1"/>
  </r>
  <r>
    <n v="198"/>
    <d v="2022-05-21T00:00:00"/>
    <d v="1899-12-30T11:42:00"/>
    <n v="30"/>
    <x v="1"/>
    <x v="29"/>
    <x v="1"/>
    <n v="3"/>
    <n v="300"/>
    <n v="114"/>
    <n v="900"/>
    <x v="0"/>
    <n v="5"/>
    <x v="7"/>
    <n v="21"/>
    <x v="0"/>
    <x v="3"/>
    <n v="786"/>
    <n v="0.87333333300000004"/>
    <n v="1"/>
  </r>
  <r>
    <n v="444"/>
    <d v="2022-10-06T00:00:00"/>
    <d v="1899-12-30T07:06:00"/>
    <n v="51"/>
    <x v="1"/>
    <x v="45"/>
    <x v="0"/>
    <n v="3"/>
    <n v="30"/>
    <n v="15.9"/>
    <n v="90"/>
    <x v="0"/>
    <n v="10"/>
    <x v="5"/>
    <n v="6"/>
    <x v="2"/>
    <x v="0"/>
    <n v="74.099999999999994"/>
    <n v="0.823333333"/>
    <n v="0"/>
  </r>
  <r>
    <n v="547"/>
    <d v="2022-11-14T00:00:00"/>
    <d v="1899-12-30T07:36:00"/>
    <n v="3"/>
    <x v="0"/>
    <x v="15"/>
    <x v="0"/>
    <n v="4"/>
    <n v="500"/>
    <n v="250"/>
    <n v="2000"/>
    <x v="0"/>
    <n v="11"/>
    <x v="0"/>
    <n v="14"/>
    <x v="1"/>
    <x v="0"/>
    <n v="1750"/>
    <n v="0.875"/>
    <n v="1"/>
  </r>
  <r>
    <n v="705"/>
    <d v="2022-09-30T00:00:00"/>
    <d v="1899-12-30T07:28:00"/>
    <n v="37"/>
    <x v="0"/>
    <x v="13"/>
    <x v="2"/>
    <n v="2"/>
    <n v="25"/>
    <n v="6.25"/>
    <n v="50"/>
    <x v="0"/>
    <n v="9"/>
    <x v="9"/>
    <n v="30"/>
    <x v="3"/>
    <x v="1"/>
    <n v="43.75"/>
    <n v="0.875"/>
    <n v="0"/>
  </r>
  <r>
    <n v="1198"/>
    <d v="2022-08-07T00:00:00"/>
    <d v="1899-12-30T10:43:00"/>
    <n v="147"/>
    <x v="1"/>
    <x v="29"/>
    <x v="1"/>
    <n v="3"/>
    <n v="300"/>
    <n v="159"/>
    <n v="900"/>
    <x v="0"/>
    <n v="8"/>
    <x v="4"/>
    <n v="7"/>
    <x v="5"/>
    <x v="1"/>
    <n v="741"/>
    <n v="0.823333333"/>
    <n v="1"/>
  </r>
  <r>
    <n v="1444"/>
    <d v="2022-04-29T00:00:00"/>
    <d v="1899-12-30T06:18:00"/>
    <n v="135"/>
    <x v="1"/>
    <x v="45"/>
    <x v="0"/>
    <n v="3"/>
    <n v="30"/>
    <n v="14.1"/>
    <n v="90"/>
    <x v="0"/>
    <n v="4"/>
    <x v="6"/>
    <n v="29"/>
    <x v="3"/>
    <x v="3"/>
    <n v="75.900000000000006"/>
    <n v="0.84333333300000002"/>
    <n v="0"/>
  </r>
  <r>
    <n v="1547"/>
    <d v="2022-08-11T00:00:00"/>
    <d v="1899-12-30T06:39:00"/>
    <n v="142"/>
    <x v="0"/>
    <x v="15"/>
    <x v="0"/>
    <n v="4"/>
    <n v="500"/>
    <n v="235"/>
    <n v="2000"/>
    <x v="0"/>
    <n v="8"/>
    <x v="4"/>
    <n v="11"/>
    <x v="2"/>
    <x v="1"/>
    <n v="1765"/>
    <n v="0.88249999999999995"/>
    <n v="1"/>
  </r>
  <r>
    <n v="1705"/>
    <d v="2022-08-14T00:00:00"/>
    <d v="1899-12-30T08:32:00"/>
    <n v="94"/>
    <x v="0"/>
    <x v="13"/>
    <x v="2"/>
    <n v="2"/>
    <n v="25"/>
    <n v="8.75"/>
    <n v="50"/>
    <x v="0"/>
    <n v="8"/>
    <x v="4"/>
    <n v="14"/>
    <x v="5"/>
    <x v="1"/>
    <n v="41.25"/>
    <n v="0.82499999999999996"/>
    <n v="0"/>
  </r>
  <r>
    <n v="423"/>
    <d v="2022-07-18T00:00:00"/>
    <d v="1899-12-30T06:06:00"/>
    <n v="41"/>
    <x v="1"/>
    <x v="17"/>
    <x v="0"/>
    <n v="1"/>
    <n v="25"/>
    <n v="11.75"/>
    <n v="25"/>
    <x v="0"/>
    <n v="7"/>
    <x v="1"/>
    <n v="18"/>
    <x v="1"/>
    <x v="1"/>
    <n v="13.25"/>
    <n v="0.53"/>
    <n v="0"/>
  </r>
  <r>
    <n v="1423"/>
    <d v="2022-06-15T00:00:00"/>
    <d v="1899-12-30T07:56:00"/>
    <n v="131"/>
    <x v="1"/>
    <x v="17"/>
    <x v="0"/>
    <n v="1"/>
    <n v="25"/>
    <n v="11"/>
    <n v="25"/>
    <x v="0"/>
    <n v="6"/>
    <x v="11"/>
    <n v="15"/>
    <x v="4"/>
    <x v="3"/>
    <n v="14"/>
    <n v="0.56000000000000005"/>
    <n v="0"/>
  </r>
  <r>
    <n v="248"/>
    <d v="2022-07-02T00:00:00"/>
    <d v="1899-12-30T07:11:00"/>
    <n v="5"/>
    <x v="0"/>
    <x v="6"/>
    <x v="0"/>
    <n v="3"/>
    <n v="300"/>
    <n v="126"/>
    <n v="900"/>
    <x v="0"/>
    <n v="7"/>
    <x v="1"/>
    <n v="2"/>
    <x v="0"/>
    <x v="1"/>
    <n v="774"/>
    <n v="0.86"/>
    <n v="1"/>
  </r>
  <r>
    <n v="360"/>
    <d v="2022-09-09T00:00:00"/>
    <d v="1899-12-30T09:04:00"/>
    <n v="26"/>
    <x v="0"/>
    <x v="25"/>
    <x v="0"/>
    <n v="4"/>
    <n v="25"/>
    <n v="10.5"/>
    <n v="100"/>
    <x v="0"/>
    <n v="9"/>
    <x v="9"/>
    <n v="9"/>
    <x v="3"/>
    <x v="1"/>
    <n v="89.5"/>
    <n v="0.89500000000000002"/>
    <n v="0"/>
  </r>
  <r>
    <n v="377"/>
    <d v="2022-09-13T00:00:00"/>
    <d v="1899-12-30T08:30:00"/>
    <n v="141"/>
    <x v="1"/>
    <x v="1"/>
    <x v="0"/>
    <n v="4"/>
    <n v="50"/>
    <n v="18"/>
    <n v="200"/>
    <x v="0"/>
    <n v="9"/>
    <x v="9"/>
    <n v="13"/>
    <x v="6"/>
    <x v="1"/>
    <n v="182"/>
    <n v="0.91"/>
    <n v="1"/>
  </r>
  <r>
    <n v="1248"/>
    <d v="2022-09-08T00:00:00"/>
    <d v="1899-12-30T08:20:00"/>
    <n v="68"/>
    <x v="0"/>
    <x v="6"/>
    <x v="0"/>
    <n v="3"/>
    <n v="300"/>
    <n v="111"/>
    <n v="900"/>
    <x v="0"/>
    <n v="9"/>
    <x v="9"/>
    <n v="8"/>
    <x v="2"/>
    <x v="1"/>
    <n v="789"/>
    <n v="0.87666666699999996"/>
    <n v="1"/>
  </r>
  <r>
    <n v="1360"/>
    <d v="2022-06-18T00:00:00"/>
    <d v="1899-12-30T09:31:00"/>
    <n v="93"/>
    <x v="0"/>
    <x v="25"/>
    <x v="0"/>
    <n v="4"/>
    <n v="25"/>
    <n v="6.25"/>
    <n v="100"/>
    <x v="0"/>
    <n v="6"/>
    <x v="11"/>
    <n v="18"/>
    <x v="0"/>
    <x v="3"/>
    <n v="93.75"/>
    <n v="0.9375"/>
    <n v="0"/>
  </r>
  <r>
    <n v="1377"/>
    <d v="2022-03-21T00:00:00"/>
    <d v="1899-12-30T07:52:00"/>
    <n v="71"/>
    <x v="1"/>
    <x v="1"/>
    <x v="0"/>
    <n v="4"/>
    <n v="50"/>
    <n v="14"/>
    <n v="200"/>
    <x v="0"/>
    <n v="3"/>
    <x v="8"/>
    <n v="21"/>
    <x v="1"/>
    <x v="2"/>
    <n v="186"/>
    <n v="0.93"/>
    <n v="1"/>
  </r>
  <r>
    <n v="397"/>
    <d v="2023-10-26T00:00:00"/>
    <d v="1899-12-30T08:06:00"/>
    <n v="59"/>
    <x v="1"/>
    <x v="7"/>
    <x v="1"/>
    <n v="1"/>
    <n v="25"/>
    <n v="10.5"/>
    <n v="25"/>
    <x v="1"/>
    <n v="10"/>
    <x v="5"/>
    <n v="26"/>
    <x v="2"/>
    <x v="0"/>
    <n v="14.5"/>
    <n v="0.57999999999999996"/>
    <n v="0"/>
  </r>
  <r>
    <n v="623"/>
    <d v="2023-11-15T00:00:00"/>
    <d v="1899-12-30T10:00:00"/>
    <n v="39"/>
    <x v="0"/>
    <x v="23"/>
    <x v="0"/>
    <n v="3"/>
    <n v="50"/>
    <n v="26"/>
    <n v="150"/>
    <x v="1"/>
    <n v="11"/>
    <x v="0"/>
    <n v="15"/>
    <x v="4"/>
    <x v="0"/>
    <n v="124"/>
    <n v="0.82666666700000002"/>
    <n v="1"/>
  </r>
  <r>
    <n v="1397"/>
    <d v="2023-01-01T00:00:00"/>
    <d v="1899-12-30T11:05:00"/>
    <n v="6"/>
    <x v="1"/>
    <x v="7"/>
    <x v="1"/>
    <n v="1"/>
    <n v="25"/>
    <n v="11.75"/>
    <n v="25"/>
    <x v="1"/>
    <n v="1"/>
    <x v="3"/>
    <n v="1"/>
    <x v="5"/>
    <x v="2"/>
    <n v="13.25"/>
    <n v="0.53"/>
    <n v="0"/>
  </r>
  <r>
    <n v="1623"/>
    <d v="2023-03-05T00:00:00"/>
    <d v="1899-12-30T06:14:00"/>
    <n v="76"/>
    <x v="0"/>
    <x v="23"/>
    <x v="0"/>
    <n v="3"/>
    <n v="50"/>
    <n v="22"/>
    <n v="150"/>
    <x v="1"/>
    <n v="3"/>
    <x v="8"/>
    <n v="5"/>
    <x v="5"/>
    <x v="2"/>
    <n v="128"/>
    <n v="0.85333333300000003"/>
    <n v="1"/>
  </r>
  <r>
    <n v="717"/>
    <d v="2023-11-30T00:00:00"/>
    <d v="1899-12-30T08:15:00"/>
    <n v="8"/>
    <x v="0"/>
    <x v="10"/>
    <x v="0"/>
    <n v="1"/>
    <n v="500"/>
    <n v="190"/>
    <n v="500"/>
    <x v="1"/>
    <n v="11"/>
    <x v="0"/>
    <n v="30"/>
    <x v="2"/>
    <x v="0"/>
    <n v="310"/>
    <n v="0.62"/>
    <n v="1"/>
  </r>
  <r>
    <n v="1717"/>
    <d v="2023-01-12T00:00:00"/>
    <d v="1899-12-30T09:40:00"/>
    <n v="21"/>
    <x v="0"/>
    <x v="10"/>
    <x v="0"/>
    <n v="1"/>
    <n v="500"/>
    <n v="175"/>
    <n v="500"/>
    <x v="1"/>
    <n v="1"/>
    <x v="3"/>
    <n v="12"/>
    <x v="2"/>
    <x v="2"/>
    <n v="325"/>
    <n v="0.65"/>
    <n v="1"/>
  </r>
  <r>
    <n v="130"/>
    <d v="2023-06-19T00:00:00"/>
    <d v="1899-12-30T06:21:00"/>
    <n v="114"/>
    <x v="1"/>
    <x v="10"/>
    <x v="0"/>
    <n v="1"/>
    <n v="500"/>
    <n v="125"/>
    <n v="500"/>
    <x v="1"/>
    <n v="6"/>
    <x v="11"/>
    <n v="19"/>
    <x v="1"/>
    <x v="3"/>
    <n v="375"/>
    <n v="0.75"/>
    <n v="1"/>
  </r>
  <r>
    <n v="658"/>
    <d v="2023-10-30T00:00:00"/>
    <d v="1899-12-30T07:47:00"/>
    <n v="93"/>
    <x v="0"/>
    <x v="26"/>
    <x v="0"/>
    <n v="1"/>
    <n v="25"/>
    <n v="6.5"/>
    <n v="25"/>
    <x v="1"/>
    <n v="10"/>
    <x v="5"/>
    <n v="30"/>
    <x v="1"/>
    <x v="0"/>
    <n v="18.5"/>
    <n v="0.74"/>
    <n v="0"/>
  </r>
  <r>
    <n v="1130"/>
    <d v="2023-02-20T00:00:00"/>
    <d v="1899-12-30T09:03:00"/>
    <n v="28"/>
    <x v="1"/>
    <x v="10"/>
    <x v="0"/>
    <n v="1"/>
    <n v="500"/>
    <n v="180"/>
    <n v="500"/>
    <x v="1"/>
    <n v="2"/>
    <x v="10"/>
    <n v="20"/>
    <x v="1"/>
    <x v="2"/>
    <n v="320"/>
    <n v="0.64"/>
    <n v="1"/>
  </r>
  <r>
    <n v="1658"/>
    <d v="2023-04-10T00:00:00"/>
    <d v="1899-12-30T06:08:00"/>
    <n v="148"/>
    <x v="0"/>
    <x v="26"/>
    <x v="0"/>
    <n v="1"/>
    <n v="25"/>
    <n v="12.25"/>
    <n v="25"/>
    <x v="1"/>
    <n v="4"/>
    <x v="6"/>
    <n v="10"/>
    <x v="1"/>
    <x v="3"/>
    <n v="12.75"/>
    <n v="0.51"/>
    <n v="0"/>
  </r>
  <r>
    <n v="7"/>
    <d v="2023-07-06T00:00:00"/>
    <d v="1899-12-30T06:24:00"/>
    <n v="38"/>
    <x v="0"/>
    <x v="1"/>
    <x v="0"/>
    <n v="2"/>
    <n v="25"/>
    <n v="13.25"/>
    <n v="50"/>
    <x v="1"/>
    <n v="7"/>
    <x v="1"/>
    <n v="6"/>
    <x v="2"/>
    <x v="1"/>
    <n v="36.75"/>
    <n v="0.73499999999999999"/>
    <n v="0"/>
  </r>
  <r>
    <n v="119"/>
    <d v="2023-09-01T00:00:00"/>
    <d v="1899-12-30T09:11:00"/>
    <n v="127"/>
    <x v="1"/>
    <x v="13"/>
    <x v="0"/>
    <n v="3"/>
    <n v="50"/>
    <n v="27.5"/>
    <n v="150"/>
    <x v="1"/>
    <n v="9"/>
    <x v="9"/>
    <n v="1"/>
    <x v="3"/>
    <x v="1"/>
    <n v="122.5"/>
    <n v="0.81666666700000001"/>
    <n v="1"/>
  </r>
  <r>
    <n v="278"/>
    <d v="2023-12-22T00:00:00"/>
    <d v="1899-12-30T11:42:00"/>
    <n v="71"/>
    <x v="1"/>
    <x v="5"/>
    <x v="0"/>
    <n v="4"/>
    <n v="25"/>
    <n v="13.5"/>
    <n v="100"/>
    <x v="1"/>
    <n v="12"/>
    <x v="2"/>
    <n v="22"/>
    <x v="3"/>
    <x v="0"/>
    <n v="86.5"/>
    <n v="0.86499999999999999"/>
    <n v="0"/>
  </r>
  <r>
    <n v="1007"/>
    <d v="2023-06-09T00:00:00"/>
    <d v="1899-12-30T10:09:00"/>
    <n v="15"/>
    <x v="0"/>
    <x v="1"/>
    <x v="0"/>
    <n v="2"/>
    <n v="25"/>
    <n v="11.5"/>
    <n v="50"/>
    <x v="1"/>
    <n v="6"/>
    <x v="11"/>
    <n v="9"/>
    <x v="3"/>
    <x v="3"/>
    <n v="38.5"/>
    <n v="0.77"/>
    <n v="0"/>
  </r>
  <r>
    <n v="1119"/>
    <d v="2023-11-19T00:00:00"/>
    <d v="1899-12-30T09:36:00"/>
    <n v="1"/>
    <x v="1"/>
    <x v="13"/>
    <x v="0"/>
    <n v="3"/>
    <n v="50"/>
    <n v="25.5"/>
    <n v="150"/>
    <x v="1"/>
    <n v="11"/>
    <x v="0"/>
    <n v="19"/>
    <x v="5"/>
    <x v="0"/>
    <n v="124.5"/>
    <n v="0.83"/>
    <n v="1"/>
  </r>
  <r>
    <n v="1278"/>
    <d v="2023-07-19T00:00:00"/>
    <d v="1899-12-30T06:19:00"/>
    <n v="28"/>
    <x v="1"/>
    <x v="5"/>
    <x v="0"/>
    <n v="4"/>
    <n v="25"/>
    <n v="6.75"/>
    <n v="100"/>
    <x v="1"/>
    <n v="7"/>
    <x v="1"/>
    <n v="19"/>
    <x v="4"/>
    <x v="1"/>
    <n v="93.25"/>
    <n v="0.9325"/>
    <n v="0"/>
  </r>
  <r>
    <n v="117"/>
    <d v="2023-08-04T00:00:00"/>
    <d v="1899-12-30T11:38:00"/>
    <n v="8"/>
    <x v="0"/>
    <x v="4"/>
    <x v="2"/>
    <n v="2"/>
    <n v="500"/>
    <n v="230"/>
    <n v="1000"/>
    <x v="1"/>
    <n v="8"/>
    <x v="4"/>
    <n v="4"/>
    <x v="3"/>
    <x v="1"/>
    <n v="770"/>
    <n v="0.77"/>
    <n v="1"/>
  </r>
  <r>
    <n v="1117"/>
    <d v="2023-09-11T00:00:00"/>
    <d v="1899-12-30T07:48:00"/>
    <n v="144"/>
    <x v="0"/>
    <x v="4"/>
    <x v="2"/>
    <n v="2"/>
    <n v="500"/>
    <n v="210"/>
    <n v="1000"/>
    <x v="1"/>
    <n v="9"/>
    <x v="9"/>
    <n v="11"/>
    <x v="1"/>
    <x v="1"/>
    <n v="790"/>
    <n v="0.79"/>
    <n v="1"/>
  </r>
  <r>
    <n v="442"/>
    <d v="2023-06-30T00:00:00"/>
    <d v="1899-12-30T11:07:00"/>
    <n v="24"/>
    <x v="1"/>
    <x v="13"/>
    <x v="0"/>
    <n v="4"/>
    <n v="25"/>
    <n v="13.25"/>
    <n v="100"/>
    <x v="1"/>
    <n v="6"/>
    <x v="11"/>
    <n v="30"/>
    <x v="3"/>
    <x v="3"/>
    <n v="86.75"/>
    <n v="0.86750000000000005"/>
    <n v="0"/>
  </r>
  <r>
    <n v="590"/>
    <d v="2023-05-04T00:00:00"/>
    <d v="1899-12-30T11:52:00"/>
    <n v="151"/>
    <x v="0"/>
    <x v="31"/>
    <x v="0"/>
    <n v="3"/>
    <n v="300"/>
    <n v="135"/>
    <n v="900"/>
    <x v="1"/>
    <n v="5"/>
    <x v="7"/>
    <n v="4"/>
    <x v="2"/>
    <x v="3"/>
    <n v="765"/>
    <n v="0.85"/>
    <n v="1"/>
  </r>
  <r>
    <n v="607"/>
    <d v="2023-05-05T00:00:00"/>
    <d v="1899-12-30T09:33:00"/>
    <n v="109"/>
    <x v="0"/>
    <x v="29"/>
    <x v="0"/>
    <n v="3"/>
    <n v="25"/>
    <n v="13.25"/>
    <n v="75"/>
    <x v="1"/>
    <n v="5"/>
    <x v="7"/>
    <n v="5"/>
    <x v="3"/>
    <x v="3"/>
    <n v="61.75"/>
    <n v="0.823333333"/>
    <n v="0"/>
  </r>
  <r>
    <n v="1442"/>
    <d v="2023-02-16T00:00:00"/>
    <d v="1899-12-30T11:02:00"/>
    <n v="96"/>
    <x v="1"/>
    <x v="13"/>
    <x v="0"/>
    <n v="4"/>
    <n v="25"/>
    <n v="11.25"/>
    <n v="100"/>
    <x v="1"/>
    <n v="2"/>
    <x v="10"/>
    <n v="16"/>
    <x v="2"/>
    <x v="2"/>
    <n v="88.75"/>
    <n v="0.88749999999999996"/>
    <n v="0"/>
  </r>
  <r>
    <n v="1590"/>
    <d v="2023-08-10T00:00:00"/>
    <d v="1899-12-30T09:39:00"/>
    <n v="142"/>
    <x v="0"/>
    <x v="31"/>
    <x v="0"/>
    <n v="3"/>
    <n v="300"/>
    <n v="147"/>
    <n v="900"/>
    <x v="1"/>
    <n v="8"/>
    <x v="4"/>
    <n v="10"/>
    <x v="2"/>
    <x v="1"/>
    <n v="753"/>
    <n v="0.83666666700000003"/>
    <n v="1"/>
  </r>
  <r>
    <n v="1607"/>
    <d v="2023-01-16T00:00:00"/>
    <d v="1899-12-30T10:18:00"/>
    <n v="53"/>
    <x v="0"/>
    <x v="29"/>
    <x v="0"/>
    <n v="3"/>
    <n v="25"/>
    <n v="7.75"/>
    <n v="75"/>
    <x v="1"/>
    <n v="1"/>
    <x v="3"/>
    <n v="16"/>
    <x v="1"/>
    <x v="2"/>
    <n v="67.25"/>
    <n v="0.89666666699999997"/>
    <n v="0"/>
  </r>
  <r>
    <n v="436"/>
    <d v="2023-10-22T00:00:00"/>
    <d v="1899-12-30T11:54:00"/>
    <n v="21"/>
    <x v="1"/>
    <x v="10"/>
    <x v="0"/>
    <n v="4"/>
    <n v="30"/>
    <n v="13.5"/>
    <n v="120"/>
    <x v="1"/>
    <n v="10"/>
    <x v="5"/>
    <n v="22"/>
    <x v="5"/>
    <x v="0"/>
    <n v="106.5"/>
    <n v="0.88749999999999996"/>
    <n v="0"/>
  </r>
  <r>
    <n v="942"/>
    <d v="2023-12-01T00:00:00"/>
    <d v="1899-12-30T09:22:00"/>
    <n v="35"/>
    <x v="0"/>
    <x v="12"/>
    <x v="0"/>
    <n v="3"/>
    <n v="500"/>
    <n v="160"/>
    <n v="1500"/>
    <x v="1"/>
    <n v="12"/>
    <x v="2"/>
    <n v="1"/>
    <x v="3"/>
    <x v="0"/>
    <n v="1340"/>
    <n v="0.89333333299999995"/>
    <n v="1"/>
  </r>
  <r>
    <n v="1436"/>
    <d v="2023-01-20T00:00:00"/>
    <d v="1899-12-30T11:29:00"/>
    <n v="1"/>
    <x v="1"/>
    <x v="10"/>
    <x v="0"/>
    <n v="4"/>
    <n v="30"/>
    <n v="9.9"/>
    <n v="120"/>
    <x v="1"/>
    <n v="1"/>
    <x v="3"/>
    <n v="20"/>
    <x v="3"/>
    <x v="2"/>
    <n v="110.1"/>
    <n v="0.91749999999999998"/>
    <n v="0"/>
  </r>
  <r>
    <n v="1942"/>
    <d v="2023-09-16T00:00:00"/>
    <d v="1899-12-30T11:53:00"/>
    <n v="112"/>
    <x v="0"/>
    <x v="12"/>
    <x v="0"/>
    <n v="3"/>
    <n v="500"/>
    <n v="265"/>
    <n v="1500"/>
    <x v="1"/>
    <n v="9"/>
    <x v="9"/>
    <n v="16"/>
    <x v="0"/>
    <x v="1"/>
    <n v="1235"/>
    <n v="0.823333333"/>
    <n v="1"/>
  </r>
  <r>
    <n v="659"/>
    <d v="2023-06-09T00:00:00"/>
    <d v="1899-12-30T06:08:00"/>
    <n v="75"/>
    <x v="1"/>
    <x v="27"/>
    <x v="2"/>
    <n v="1"/>
    <n v="30"/>
    <n v="8.1"/>
    <n v="30"/>
    <x v="1"/>
    <n v="6"/>
    <x v="11"/>
    <n v="9"/>
    <x v="3"/>
    <x v="3"/>
    <n v="21.9"/>
    <n v="0.73"/>
    <n v="0"/>
  </r>
  <r>
    <n v="941"/>
    <d v="2023-04-28T00:00:00"/>
    <d v="1899-12-30T09:58:00"/>
    <n v="39"/>
    <x v="1"/>
    <x v="10"/>
    <x v="0"/>
    <n v="2"/>
    <n v="25"/>
    <n v="6.5"/>
    <n v="50"/>
    <x v="1"/>
    <n v="4"/>
    <x v="6"/>
    <n v="28"/>
    <x v="3"/>
    <x v="3"/>
    <n v="43.5"/>
    <n v="0.87"/>
    <n v="0"/>
  </r>
  <r>
    <n v="1659"/>
    <d v="2023-07-27T00:00:00"/>
    <d v="1899-12-30T09:29:00"/>
    <n v="22"/>
    <x v="1"/>
    <x v="27"/>
    <x v="2"/>
    <n v="1"/>
    <n v="30"/>
    <n v="9"/>
    <n v="30"/>
    <x v="1"/>
    <n v="7"/>
    <x v="1"/>
    <n v="27"/>
    <x v="2"/>
    <x v="1"/>
    <n v="21"/>
    <n v="0.7"/>
    <n v="0"/>
  </r>
  <r>
    <n v="1941"/>
    <d v="2023-01-06T00:00:00"/>
    <d v="1899-12-30T06:14:00"/>
    <n v="48"/>
    <x v="1"/>
    <x v="10"/>
    <x v="0"/>
    <n v="2"/>
    <n v="25"/>
    <n v="12"/>
    <n v="50"/>
    <x v="1"/>
    <n v="1"/>
    <x v="3"/>
    <n v="6"/>
    <x v="3"/>
    <x v="2"/>
    <n v="38"/>
    <n v="0.76"/>
    <n v="0"/>
  </r>
  <r>
    <n v="136"/>
    <d v="2023-12-26T00:00:00"/>
    <d v="1899-12-30T08:59:00"/>
    <n v="25"/>
    <x v="0"/>
    <x v="47"/>
    <x v="2"/>
    <n v="2"/>
    <n v="300"/>
    <n v="141"/>
    <n v="600"/>
    <x v="1"/>
    <n v="12"/>
    <x v="2"/>
    <n v="26"/>
    <x v="6"/>
    <x v="0"/>
    <n v="459"/>
    <n v="0.76500000000000001"/>
    <n v="1"/>
  </r>
  <r>
    <n v="175"/>
    <d v="2023-01-25T00:00:00"/>
    <d v="1899-12-30T10:02:00"/>
    <n v="23"/>
    <x v="1"/>
    <x v="16"/>
    <x v="2"/>
    <n v="4"/>
    <n v="25"/>
    <n v="12.5"/>
    <n v="100"/>
    <x v="1"/>
    <n v="1"/>
    <x v="3"/>
    <n v="25"/>
    <x v="4"/>
    <x v="2"/>
    <n v="87.5"/>
    <n v="0.875"/>
    <n v="0"/>
  </r>
  <r>
    <n v="663"/>
    <d v="2023-08-16T00:00:00"/>
    <d v="1899-12-30T06:32:00"/>
    <n v="133"/>
    <x v="0"/>
    <x v="8"/>
    <x v="0"/>
    <n v="4"/>
    <n v="300"/>
    <n v="87"/>
    <n v="1200"/>
    <x v="1"/>
    <n v="8"/>
    <x v="4"/>
    <n v="16"/>
    <x v="4"/>
    <x v="1"/>
    <n v="1113"/>
    <n v="0.92749999999999999"/>
    <n v="1"/>
  </r>
  <r>
    <n v="748"/>
    <d v="2023-03-01T00:00:00"/>
    <d v="1899-12-30T09:35:00"/>
    <n v="132"/>
    <x v="0"/>
    <x v="38"/>
    <x v="0"/>
    <n v="3"/>
    <n v="50"/>
    <n v="24"/>
    <n v="150"/>
    <x v="1"/>
    <n v="3"/>
    <x v="8"/>
    <n v="1"/>
    <x v="4"/>
    <x v="2"/>
    <n v="126"/>
    <n v="0.84"/>
    <n v="1"/>
  </r>
  <r>
    <n v="806"/>
    <d v="2023-01-22T00:00:00"/>
    <d v="1899-12-30T08:08:00"/>
    <n v="14"/>
    <x v="1"/>
    <x v="39"/>
    <x v="1"/>
    <n v="3"/>
    <n v="300"/>
    <n v="165"/>
    <n v="900"/>
    <x v="1"/>
    <n v="1"/>
    <x v="3"/>
    <n v="22"/>
    <x v="5"/>
    <x v="2"/>
    <n v="735"/>
    <n v="0.81666666700000001"/>
    <n v="1"/>
  </r>
  <r>
    <n v="1136"/>
    <d v="2023-07-02T00:00:00"/>
    <d v="1899-12-30T08:41:00"/>
    <n v="93"/>
    <x v="0"/>
    <x v="47"/>
    <x v="2"/>
    <n v="2"/>
    <n v="300"/>
    <n v="81"/>
    <n v="600"/>
    <x v="1"/>
    <n v="7"/>
    <x v="1"/>
    <n v="2"/>
    <x v="5"/>
    <x v="1"/>
    <n v="519"/>
    <n v="0.86499999999999999"/>
    <n v="1"/>
  </r>
  <r>
    <n v="1175"/>
    <d v="2023-06-02T00:00:00"/>
    <d v="1899-12-30T06:38:00"/>
    <n v="103"/>
    <x v="1"/>
    <x v="16"/>
    <x v="2"/>
    <n v="4"/>
    <n v="25"/>
    <n v="11.5"/>
    <n v="100"/>
    <x v="1"/>
    <n v="6"/>
    <x v="11"/>
    <n v="2"/>
    <x v="3"/>
    <x v="3"/>
    <n v="88.5"/>
    <n v="0.88500000000000001"/>
    <n v="0"/>
  </r>
  <r>
    <n v="1663"/>
    <d v="2023-12-07T00:00:00"/>
    <d v="1899-12-30T07:04:00"/>
    <n v="33"/>
    <x v="0"/>
    <x v="8"/>
    <x v="0"/>
    <n v="4"/>
    <n v="300"/>
    <n v="81"/>
    <n v="1200"/>
    <x v="1"/>
    <n v="12"/>
    <x v="2"/>
    <n v="7"/>
    <x v="2"/>
    <x v="0"/>
    <n v="1119"/>
    <n v="0.9325"/>
    <n v="1"/>
  </r>
  <r>
    <n v="1748"/>
    <d v="2023-03-02T00:00:00"/>
    <d v="1899-12-30T10:24:00"/>
    <n v="119"/>
    <x v="0"/>
    <x v="38"/>
    <x v="0"/>
    <n v="3"/>
    <n v="50"/>
    <n v="15.5"/>
    <n v="150"/>
    <x v="1"/>
    <n v="3"/>
    <x v="8"/>
    <n v="2"/>
    <x v="2"/>
    <x v="2"/>
    <n v="134.5"/>
    <n v="0.89666666699999997"/>
    <n v="1"/>
  </r>
  <r>
    <n v="1806"/>
    <d v="2023-06-14T00:00:00"/>
    <d v="1899-12-30T10:13:00"/>
    <n v="61"/>
    <x v="1"/>
    <x v="39"/>
    <x v="1"/>
    <n v="3"/>
    <n v="300"/>
    <n v="102"/>
    <n v="900"/>
    <x v="1"/>
    <n v="6"/>
    <x v="11"/>
    <n v="14"/>
    <x v="4"/>
    <x v="3"/>
    <n v="798"/>
    <n v="0.88666666699999996"/>
    <n v="1"/>
  </r>
  <r>
    <n v="38"/>
    <d v="2023-02-25T00:00:00"/>
    <d v="1899-12-30T11:39:00"/>
    <n v="147"/>
    <x v="0"/>
    <x v="9"/>
    <x v="1"/>
    <n v="4"/>
    <n v="50"/>
    <n v="26"/>
    <n v="200"/>
    <x v="1"/>
    <n v="2"/>
    <x v="10"/>
    <n v="25"/>
    <x v="0"/>
    <x v="2"/>
    <n v="174"/>
    <n v="0.87"/>
    <n v="1"/>
  </r>
  <r>
    <n v="313"/>
    <d v="2023-12-16T00:00:00"/>
    <d v="1899-12-30T10:03:00"/>
    <n v="11"/>
    <x v="1"/>
    <x v="46"/>
    <x v="1"/>
    <n v="3"/>
    <n v="500"/>
    <n v="140"/>
    <n v="1500"/>
    <x v="1"/>
    <n v="12"/>
    <x v="2"/>
    <n v="16"/>
    <x v="0"/>
    <x v="0"/>
    <n v="1360"/>
    <n v="0.90666666699999998"/>
    <n v="1"/>
  </r>
  <r>
    <n v="402"/>
    <d v="2023-07-12T00:00:00"/>
    <d v="1899-12-30T08:45:00"/>
    <n v="63"/>
    <x v="1"/>
    <x v="0"/>
    <x v="0"/>
    <n v="2"/>
    <n v="300"/>
    <n v="135"/>
    <n v="600"/>
    <x v="1"/>
    <n v="7"/>
    <x v="1"/>
    <n v="12"/>
    <x v="4"/>
    <x v="1"/>
    <n v="465"/>
    <n v="0.77500000000000002"/>
    <n v="1"/>
  </r>
  <r>
    <n v="459"/>
    <d v="2023-05-23T00:00:00"/>
    <d v="1899-12-30T07:12:00"/>
    <n v="122"/>
    <x v="0"/>
    <x v="32"/>
    <x v="0"/>
    <n v="4"/>
    <n v="300"/>
    <n v="75"/>
    <n v="1200"/>
    <x v="1"/>
    <n v="5"/>
    <x v="7"/>
    <n v="23"/>
    <x v="6"/>
    <x v="3"/>
    <n v="1125"/>
    <n v="0.9375"/>
    <n v="1"/>
  </r>
  <r>
    <n v="1038"/>
    <d v="2023-12-30T00:00:00"/>
    <d v="1899-12-30T09:09:00"/>
    <n v="11"/>
    <x v="0"/>
    <x v="9"/>
    <x v="1"/>
    <n v="4"/>
    <n v="50"/>
    <n v="20.5"/>
    <n v="200"/>
    <x v="1"/>
    <n v="12"/>
    <x v="2"/>
    <n v="30"/>
    <x v="0"/>
    <x v="0"/>
    <n v="179.5"/>
    <n v="0.89749999999999996"/>
    <n v="1"/>
  </r>
  <r>
    <n v="1313"/>
    <d v="2023-06-04T00:00:00"/>
    <d v="1899-12-30T09:22:00"/>
    <n v="10"/>
    <x v="1"/>
    <x v="46"/>
    <x v="1"/>
    <n v="3"/>
    <n v="500"/>
    <n v="170"/>
    <n v="1500"/>
    <x v="1"/>
    <n v="6"/>
    <x v="11"/>
    <n v="4"/>
    <x v="5"/>
    <x v="3"/>
    <n v="1330"/>
    <n v="0.88666666699999996"/>
    <n v="1"/>
  </r>
  <r>
    <n v="1402"/>
    <d v="2023-06-24T00:00:00"/>
    <d v="1899-12-30T06:47:00"/>
    <n v="110"/>
    <x v="1"/>
    <x v="0"/>
    <x v="0"/>
    <n v="2"/>
    <n v="300"/>
    <n v="156"/>
    <n v="600"/>
    <x v="1"/>
    <n v="6"/>
    <x v="11"/>
    <n v="24"/>
    <x v="0"/>
    <x v="3"/>
    <n v="444"/>
    <n v="0.74"/>
    <n v="1"/>
  </r>
  <r>
    <n v="1459"/>
    <d v="2023-11-10T00:00:00"/>
    <d v="1899-12-30T06:46:00"/>
    <n v="13"/>
    <x v="0"/>
    <x v="32"/>
    <x v="0"/>
    <n v="4"/>
    <n v="300"/>
    <n v="144"/>
    <n v="1200"/>
    <x v="1"/>
    <n v="11"/>
    <x v="0"/>
    <n v="10"/>
    <x v="3"/>
    <x v="0"/>
    <n v="1056"/>
    <n v="0.88"/>
    <n v="1"/>
  </r>
  <r>
    <n v="161"/>
    <d v="2023-07-01T00:00:00"/>
    <d v="1899-12-30T06:58:00"/>
    <n v="104"/>
    <x v="0"/>
    <x v="3"/>
    <x v="1"/>
    <n v="2"/>
    <n v="500"/>
    <n v="195"/>
    <n v="1000"/>
    <x v="1"/>
    <n v="7"/>
    <x v="1"/>
    <n v="1"/>
    <x v="0"/>
    <x v="1"/>
    <n v="805"/>
    <n v="0.80500000000000005"/>
    <n v="1"/>
  </r>
  <r>
    <n v="328"/>
    <d v="2023-10-29T00:00:00"/>
    <d v="1899-12-30T06:56:00"/>
    <n v="9"/>
    <x v="0"/>
    <x v="27"/>
    <x v="1"/>
    <n v="2"/>
    <n v="50"/>
    <n v="27"/>
    <n v="100"/>
    <x v="1"/>
    <n v="10"/>
    <x v="5"/>
    <n v="29"/>
    <x v="5"/>
    <x v="0"/>
    <n v="73"/>
    <n v="0.73"/>
    <n v="0"/>
  </r>
  <r>
    <n v="383"/>
    <d v="2023-03-24T00:00:00"/>
    <d v="1899-12-30T08:53:00"/>
    <n v="64"/>
    <x v="1"/>
    <x v="1"/>
    <x v="1"/>
    <n v="3"/>
    <n v="30"/>
    <n v="7.8"/>
    <n v="90"/>
    <x v="1"/>
    <n v="3"/>
    <x v="8"/>
    <n v="24"/>
    <x v="3"/>
    <x v="2"/>
    <n v="82.2"/>
    <n v="0.91333333299999997"/>
    <n v="0"/>
  </r>
  <r>
    <n v="973"/>
    <d v="2023-09-03T00:00:00"/>
    <d v="1899-12-30T08:44:00"/>
    <n v="51"/>
    <x v="0"/>
    <x v="13"/>
    <x v="0"/>
    <n v="1"/>
    <n v="50"/>
    <n v="13"/>
    <n v="50"/>
    <x v="1"/>
    <n v="9"/>
    <x v="9"/>
    <n v="3"/>
    <x v="5"/>
    <x v="1"/>
    <n v="37"/>
    <n v="0.74"/>
    <n v="0"/>
  </r>
  <r>
    <n v="978"/>
    <d v="2023-07-27T00:00:00"/>
    <d v="1899-12-30T09:58:00"/>
    <n v="16"/>
    <x v="1"/>
    <x v="21"/>
    <x v="0"/>
    <n v="3"/>
    <n v="50"/>
    <n v="19"/>
    <n v="150"/>
    <x v="1"/>
    <n v="7"/>
    <x v="1"/>
    <n v="27"/>
    <x v="2"/>
    <x v="1"/>
    <n v="131"/>
    <n v="0.87333333300000004"/>
    <n v="1"/>
  </r>
  <r>
    <n v="1161"/>
    <d v="2023-06-29T00:00:00"/>
    <d v="1899-12-30T11:06:00"/>
    <n v="30"/>
    <x v="0"/>
    <x v="3"/>
    <x v="1"/>
    <n v="2"/>
    <n v="500"/>
    <n v="160"/>
    <n v="1000"/>
    <x v="1"/>
    <n v="6"/>
    <x v="11"/>
    <n v="29"/>
    <x v="2"/>
    <x v="3"/>
    <n v="840"/>
    <n v="0.84"/>
    <n v="1"/>
  </r>
  <r>
    <n v="1328"/>
    <d v="2023-12-10T00:00:00"/>
    <d v="1899-12-30T07:49:00"/>
    <n v="60"/>
    <x v="0"/>
    <x v="27"/>
    <x v="1"/>
    <n v="2"/>
    <n v="50"/>
    <n v="24.5"/>
    <n v="100"/>
    <x v="1"/>
    <n v="12"/>
    <x v="2"/>
    <n v="10"/>
    <x v="5"/>
    <x v="0"/>
    <n v="75.5"/>
    <n v="0.755"/>
    <n v="0"/>
  </r>
  <r>
    <n v="1383"/>
    <d v="2023-09-06T00:00:00"/>
    <d v="1899-12-30T09:13:00"/>
    <n v="68"/>
    <x v="1"/>
    <x v="1"/>
    <x v="1"/>
    <n v="3"/>
    <n v="30"/>
    <n v="14.1"/>
    <n v="90"/>
    <x v="1"/>
    <n v="9"/>
    <x v="9"/>
    <n v="6"/>
    <x v="4"/>
    <x v="1"/>
    <n v="75.900000000000006"/>
    <n v="0.84333333300000002"/>
    <n v="0"/>
  </r>
  <r>
    <n v="1973"/>
    <d v="2023-08-19T00:00:00"/>
    <d v="1899-12-30T10:10:00"/>
    <n v="22"/>
    <x v="0"/>
    <x v="13"/>
    <x v="0"/>
    <n v="1"/>
    <n v="50"/>
    <n v="21.5"/>
    <n v="50"/>
    <x v="1"/>
    <n v="8"/>
    <x v="4"/>
    <n v="19"/>
    <x v="0"/>
    <x v="1"/>
    <n v="28.5"/>
    <n v="0.56999999999999995"/>
    <n v="0"/>
  </r>
  <r>
    <n v="1978"/>
    <d v="2023-08-31T00:00:00"/>
    <d v="1899-12-30T11:59:00"/>
    <n v="41"/>
    <x v="1"/>
    <x v="21"/>
    <x v="0"/>
    <n v="3"/>
    <n v="50"/>
    <n v="15.5"/>
    <n v="150"/>
    <x v="1"/>
    <n v="8"/>
    <x v="4"/>
    <n v="31"/>
    <x v="2"/>
    <x v="1"/>
    <n v="134.5"/>
    <n v="0.89666666699999997"/>
    <n v="1"/>
  </r>
  <r>
    <n v="33"/>
    <d v="2023-12-24T00:00:00"/>
    <d v="1899-12-30T07:40:00"/>
    <n v="33"/>
    <x v="1"/>
    <x v="20"/>
    <x v="2"/>
    <n v="2"/>
    <n v="50"/>
    <n v="21"/>
    <n v="100"/>
    <x v="1"/>
    <n v="12"/>
    <x v="2"/>
    <n v="24"/>
    <x v="5"/>
    <x v="0"/>
    <n v="79"/>
    <n v="0.79"/>
    <n v="0"/>
  </r>
  <r>
    <n v="138"/>
    <d v="2023-04-27T00:00:00"/>
    <d v="1899-12-30T10:56:00"/>
    <n v="127"/>
    <x v="0"/>
    <x v="28"/>
    <x v="0"/>
    <n v="4"/>
    <n v="50"/>
    <n v="26.5"/>
    <n v="200"/>
    <x v="1"/>
    <n v="4"/>
    <x v="6"/>
    <n v="27"/>
    <x v="2"/>
    <x v="3"/>
    <n v="173.5"/>
    <n v="0.86750000000000005"/>
    <n v="1"/>
  </r>
  <r>
    <n v="471"/>
    <d v="2023-03-08T00:00:00"/>
    <d v="1899-12-30T10:21:00"/>
    <n v="136"/>
    <x v="0"/>
    <x v="37"/>
    <x v="0"/>
    <n v="3"/>
    <n v="50"/>
    <n v="13"/>
    <n v="150"/>
    <x v="1"/>
    <n v="3"/>
    <x v="8"/>
    <n v="8"/>
    <x v="4"/>
    <x v="2"/>
    <n v="137"/>
    <n v="0.91333333299999997"/>
    <n v="1"/>
  </r>
  <r>
    <n v="636"/>
    <d v="2023-05-09T00:00:00"/>
    <d v="1899-12-30T06:15:00"/>
    <n v="60"/>
    <x v="1"/>
    <x v="40"/>
    <x v="1"/>
    <n v="3"/>
    <n v="500"/>
    <n v="230"/>
    <n v="1500"/>
    <x v="1"/>
    <n v="5"/>
    <x v="7"/>
    <n v="9"/>
    <x v="6"/>
    <x v="3"/>
    <n v="1270"/>
    <n v="0.84666666700000004"/>
    <n v="1"/>
  </r>
  <r>
    <n v="1033"/>
    <d v="2023-04-12T00:00:00"/>
    <d v="1899-12-30T06:52:00"/>
    <n v="32"/>
    <x v="1"/>
    <x v="20"/>
    <x v="2"/>
    <n v="2"/>
    <n v="50"/>
    <n v="19"/>
    <n v="100"/>
    <x v="1"/>
    <n v="4"/>
    <x v="6"/>
    <n v="12"/>
    <x v="4"/>
    <x v="3"/>
    <n v="81"/>
    <n v="0.81"/>
    <n v="0"/>
  </r>
  <r>
    <n v="1138"/>
    <d v="2023-10-16T00:00:00"/>
    <d v="1899-12-30T11:59:00"/>
    <n v="27"/>
    <x v="0"/>
    <x v="28"/>
    <x v="0"/>
    <n v="4"/>
    <n v="50"/>
    <n v="14.5"/>
    <n v="200"/>
    <x v="1"/>
    <n v="10"/>
    <x v="5"/>
    <n v="16"/>
    <x v="1"/>
    <x v="0"/>
    <n v="185.5"/>
    <n v="0.92749999999999999"/>
    <n v="1"/>
  </r>
  <r>
    <n v="1471"/>
    <d v="2023-06-25T00:00:00"/>
    <d v="1899-12-30T10:34:00"/>
    <n v="30"/>
    <x v="0"/>
    <x v="37"/>
    <x v="0"/>
    <n v="3"/>
    <n v="50"/>
    <n v="13"/>
    <n v="150"/>
    <x v="1"/>
    <n v="6"/>
    <x v="11"/>
    <n v="25"/>
    <x v="5"/>
    <x v="3"/>
    <n v="137"/>
    <n v="0.91333333299999997"/>
    <n v="1"/>
  </r>
  <r>
    <n v="1636"/>
    <d v="2023-07-22T00:00:00"/>
    <d v="1899-12-30T11:26:00"/>
    <n v="50"/>
    <x v="1"/>
    <x v="40"/>
    <x v="1"/>
    <n v="3"/>
    <n v="500"/>
    <n v="150"/>
    <n v="1500"/>
    <x v="1"/>
    <n v="7"/>
    <x v="1"/>
    <n v="22"/>
    <x v="0"/>
    <x v="1"/>
    <n v="1350"/>
    <n v="0.9"/>
    <n v="1"/>
  </r>
  <r>
    <n v="177"/>
    <d v="2023-03-24T00:00:00"/>
    <d v="1899-12-30T08:40:00"/>
    <n v="30"/>
    <x v="0"/>
    <x v="14"/>
    <x v="1"/>
    <n v="2"/>
    <n v="50"/>
    <n v="26.5"/>
    <n v="100"/>
    <x v="1"/>
    <n v="3"/>
    <x v="8"/>
    <n v="24"/>
    <x v="3"/>
    <x v="2"/>
    <n v="73.5"/>
    <n v="0.73499999999999999"/>
    <n v="0"/>
  </r>
  <r>
    <n v="426"/>
    <d v="2023-12-13T00:00:00"/>
    <d v="1899-12-30T08:11:00"/>
    <n v="137"/>
    <x v="0"/>
    <x v="8"/>
    <x v="2"/>
    <n v="3"/>
    <n v="50"/>
    <n v="12.5"/>
    <n v="150"/>
    <x v="1"/>
    <n v="12"/>
    <x v="2"/>
    <n v="13"/>
    <x v="4"/>
    <x v="0"/>
    <n v="137.5"/>
    <n v="0.91666666699999999"/>
    <n v="1"/>
  </r>
  <r>
    <n v="1177"/>
    <d v="2023-02-20T00:00:00"/>
    <d v="1899-12-30T09:19:00"/>
    <n v="89"/>
    <x v="0"/>
    <x v="14"/>
    <x v="1"/>
    <n v="2"/>
    <n v="50"/>
    <n v="15"/>
    <n v="100"/>
    <x v="1"/>
    <n v="2"/>
    <x v="10"/>
    <n v="20"/>
    <x v="1"/>
    <x v="2"/>
    <n v="85"/>
    <n v="0.85"/>
    <n v="0"/>
  </r>
  <r>
    <n v="1426"/>
    <d v="2023-12-12T00:00:00"/>
    <d v="1899-12-30T11:32:00"/>
    <n v="114"/>
    <x v="0"/>
    <x v="8"/>
    <x v="2"/>
    <n v="3"/>
    <n v="50"/>
    <n v="25"/>
    <n v="150"/>
    <x v="1"/>
    <n v="12"/>
    <x v="2"/>
    <n v="12"/>
    <x v="6"/>
    <x v="0"/>
    <n v="125"/>
    <n v="0.83333333300000001"/>
    <n v="1"/>
  </r>
  <r>
    <n v="76"/>
    <d v="2023-09-09T00:00:00"/>
    <d v="1899-12-30T07:33:00"/>
    <n v="70"/>
    <x v="1"/>
    <x v="30"/>
    <x v="2"/>
    <n v="2"/>
    <n v="50"/>
    <n v="14.5"/>
    <n v="100"/>
    <x v="1"/>
    <n v="9"/>
    <x v="9"/>
    <n v="9"/>
    <x v="0"/>
    <x v="1"/>
    <n v="85.5"/>
    <n v="0.85499999999999998"/>
    <n v="0"/>
  </r>
  <r>
    <n v="91"/>
    <d v="2023-04-14T00:00:00"/>
    <d v="1899-12-30T06:31:00"/>
    <n v="152"/>
    <x v="1"/>
    <x v="46"/>
    <x v="2"/>
    <n v="1"/>
    <n v="500"/>
    <n v="235"/>
    <n v="500"/>
    <x v="1"/>
    <n v="4"/>
    <x v="6"/>
    <n v="14"/>
    <x v="3"/>
    <x v="3"/>
    <n v="265"/>
    <n v="0.53"/>
    <n v="1"/>
  </r>
  <r>
    <n v="461"/>
    <d v="2023-07-18T00:00:00"/>
    <d v="1899-12-30T10:33:00"/>
    <n v="21"/>
    <x v="1"/>
    <x v="18"/>
    <x v="1"/>
    <n v="2"/>
    <n v="500"/>
    <n v="265"/>
    <n v="1000"/>
    <x v="1"/>
    <n v="7"/>
    <x v="1"/>
    <n v="18"/>
    <x v="6"/>
    <x v="1"/>
    <n v="735"/>
    <n v="0.73499999999999999"/>
    <n v="1"/>
  </r>
  <r>
    <n v="764"/>
    <d v="2023-11-07T00:00:00"/>
    <d v="1899-12-30T08:46:00"/>
    <n v="47"/>
    <x v="1"/>
    <x v="2"/>
    <x v="0"/>
    <n v="1"/>
    <n v="25"/>
    <n v="11.25"/>
    <n v="25"/>
    <x v="1"/>
    <n v="11"/>
    <x v="0"/>
    <n v="7"/>
    <x v="6"/>
    <x v="0"/>
    <n v="13.75"/>
    <n v="0.55000000000000004"/>
    <n v="0"/>
  </r>
  <r>
    <n v="1076"/>
    <d v="2023-07-14T00:00:00"/>
    <d v="1899-12-30T11:09:00"/>
    <n v="99"/>
    <x v="1"/>
    <x v="30"/>
    <x v="2"/>
    <n v="2"/>
    <n v="50"/>
    <n v="15"/>
    <n v="100"/>
    <x v="1"/>
    <n v="7"/>
    <x v="1"/>
    <n v="14"/>
    <x v="3"/>
    <x v="1"/>
    <n v="85"/>
    <n v="0.85"/>
    <n v="0"/>
  </r>
  <r>
    <n v="1091"/>
    <d v="2023-07-15T00:00:00"/>
    <d v="1899-12-30T08:46:00"/>
    <n v="139"/>
    <x v="1"/>
    <x v="46"/>
    <x v="2"/>
    <n v="1"/>
    <n v="500"/>
    <n v="235"/>
    <n v="500"/>
    <x v="1"/>
    <n v="7"/>
    <x v="1"/>
    <n v="15"/>
    <x v="0"/>
    <x v="1"/>
    <n v="265"/>
    <n v="0.53"/>
    <n v="1"/>
  </r>
  <r>
    <n v="1461"/>
    <d v="2023-05-01T00:00:00"/>
    <d v="1899-12-30T08:43:00"/>
    <n v="63"/>
    <x v="1"/>
    <x v="18"/>
    <x v="1"/>
    <n v="2"/>
    <n v="500"/>
    <n v="180"/>
    <n v="1000"/>
    <x v="1"/>
    <n v="5"/>
    <x v="7"/>
    <n v="1"/>
    <x v="1"/>
    <x v="3"/>
    <n v="820"/>
    <n v="0.82"/>
    <n v="1"/>
  </r>
  <r>
    <n v="1764"/>
    <d v="2023-11-02T00:00:00"/>
    <d v="1899-12-30T11:04:00"/>
    <n v="13"/>
    <x v="1"/>
    <x v="2"/>
    <x v="0"/>
    <n v="1"/>
    <n v="25"/>
    <n v="11.75"/>
    <n v="25"/>
    <x v="1"/>
    <n v="11"/>
    <x v="0"/>
    <n v="2"/>
    <x v="2"/>
    <x v="0"/>
    <n v="13.25"/>
    <n v="0.53"/>
    <n v="0"/>
  </r>
  <r>
    <n v="202"/>
    <d v="2023-01-25T00:00:00"/>
    <d v="1899-12-30T06:24:00"/>
    <n v="61"/>
    <x v="1"/>
    <x v="23"/>
    <x v="0"/>
    <n v="4"/>
    <n v="300"/>
    <n v="120"/>
    <n v="1200"/>
    <x v="1"/>
    <n v="1"/>
    <x v="3"/>
    <n v="25"/>
    <x v="4"/>
    <x v="2"/>
    <n v="1080"/>
    <n v="0.9"/>
    <n v="1"/>
  </r>
  <r>
    <n v="301"/>
    <d v="2023-07-30T00:00:00"/>
    <d v="1899-12-30T10:58:00"/>
    <n v="104"/>
    <x v="0"/>
    <x v="7"/>
    <x v="0"/>
    <n v="4"/>
    <n v="30"/>
    <n v="9.6"/>
    <n v="120"/>
    <x v="1"/>
    <n v="7"/>
    <x v="1"/>
    <n v="30"/>
    <x v="5"/>
    <x v="1"/>
    <n v="110.4"/>
    <n v="0.92"/>
    <n v="0"/>
  </r>
  <r>
    <n v="703"/>
    <d v="2023-07-31T00:00:00"/>
    <d v="1899-12-30T09:56:00"/>
    <n v="140"/>
    <x v="0"/>
    <x v="23"/>
    <x v="2"/>
    <n v="2"/>
    <n v="50"/>
    <n v="18.5"/>
    <n v="100"/>
    <x v="1"/>
    <n v="7"/>
    <x v="1"/>
    <n v="31"/>
    <x v="1"/>
    <x v="1"/>
    <n v="81.5"/>
    <n v="0.81499999999999995"/>
    <n v="0"/>
  </r>
  <r>
    <n v="1202"/>
    <d v="2023-11-13T00:00:00"/>
    <d v="1899-12-30T06:56:00"/>
    <n v="89"/>
    <x v="1"/>
    <x v="23"/>
    <x v="0"/>
    <n v="4"/>
    <n v="300"/>
    <n v="144"/>
    <n v="1200"/>
    <x v="1"/>
    <n v="11"/>
    <x v="0"/>
    <n v="13"/>
    <x v="1"/>
    <x v="0"/>
    <n v="1056"/>
    <n v="0.88"/>
    <n v="1"/>
  </r>
  <r>
    <n v="1301"/>
    <d v="2023-09-24T00:00:00"/>
    <d v="1899-12-30T09:58:00"/>
    <n v="70"/>
    <x v="0"/>
    <x v="7"/>
    <x v="0"/>
    <n v="4"/>
    <n v="30"/>
    <n v="10.5"/>
    <n v="120"/>
    <x v="1"/>
    <n v="9"/>
    <x v="9"/>
    <n v="24"/>
    <x v="5"/>
    <x v="1"/>
    <n v="109.5"/>
    <n v="0.91249999999999998"/>
    <n v="0"/>
  </r>
  <r>
    <n v="1703"/>
    <d v="2023-06-10T00:00:00"/>
    <d v="1899-12-30T08:36:00"/>
    <n v="2"/>
    <x v="0"/>
    <x v="23"/>
    <x v="2"/>
    <n v="2"/>
    <n v="50"/>
    <n v="17"/>
    <n v="100"/>
    <x v="1"/>
    <n v="6"/>
    <x v="11"/>
    <n v="10"/>
    <x v="0"/>
    <x v="3"/>
    <n v="83"/>
    <n v="0.83"/>
    <n v="0"/>
  </r>
  <r>
    <n v="294"/>
    <d v="2023-10-09T00:00:00"/>
    <d v="1899-12-30T09:24:00"/>
    <n v="89"/>
    <x v="1"/>
    <x v="8"/>
    <x v="0"/>
    <n v="3"/>
    <n v="30"/>
    <n v="15.3"/>
    <n v="90"/>
    <x v="1"/>
    <n v="10"/>
    <x v="5"/>
    <n v="9"/>
    <x v="1"/>
    <x v="0"/>
    <n v="74.7"/>
    <n v="0.83"/>
    <n v="0"/>
  </r>
  <r>
    <n v="760"/>
    <d v="2023-06-26T00:00:00"/>
    <d v="1899-12-30T07:59:00"/>
    <n v="14"/>
    <x v="0"/>
    <x v="17"/>
    <x v="1"/>
    <n v="1"/>
    <n v="500"/>
    <n v="125"/>
    <n v="500"/>
    <x v="1"/>
    <n v="6"/>
    <x v="11"/>
    <n v="26"/>
    <x v="1"/>
    <x v="3"/>
    <n v="375"/>
    <n v="0.75"/>
    <n v="1"/>
  </r>
  <r>
    <n v="1294"/>
    <d v="2023-01-24T00:00:00"/>
    <d v="1899-12-30T11:24:00"/>
    <n v="8"/>
    <x v="1"/>
    <x v="8"/>
    <x v="0"/>
    <n v="3"/>
    <n v="30"/>
    <n v="10.5"/>
    <n v="90"/>
    <x v="1"/>
    <n v="1"/>
    <x v="3"/>
    <n v="24"/>
    <x v="6"/>
    <x v="2"/>
    <n v="79.5"/>
    <n v="0.88333333300000005"/>
    <n v="0"/>
  </r>
  <r>
    <n v="1760"/>
    <d v="2023-08-23T00:00:00"/>
    <d v="1899-12-30T07:26:00"/>
    <n v="44"/>
    <x v="0"/>
    <x v="17"/>
    <x v="1"/>
    <n v="1"/>
    <n v="500"/>
    <n v="230"/>
    <n v="500"/>
    <x v="1"/>
    <n v="8"/>
    <x v="4"/>
    <n v="23"/>
    <x v="4"/>
    <x v="1"/>
    <n v="270"/>
    <n v="0.54"/>
    <n v="1"/>
  </r>
  <r>
    <n v="575"/>
    <d v="2023-12-12T00:00:00"/>
    <d v="1899-12-30T10:29:00"/>
    <n v="14"/>
    <x v="0"/>
    <x v="13"/>
    <x v="0"/>
    <n v="2"/>
    <n v="50"/>
    <n v="23"/>
    <n v="100"/>
    <x v="1"/>
    <n v="12"/>
    <x v="2"/>
    <n v="12"/>
    <x v="6"/>
    <x v="0"/>
    <n v="77"/>
    <n v="0.77"/>
    <n v="0"/>
  </r>
  <r>
    <n v="1575"/>
    <d v="2023-07-28T00:00:00"/>
    <d v="1899-12-30T11:54:00"/>
    <n v="26"/>
    <x v="0"/>
    <x v="13"/>
    <x v="0"/>
    <n v="2"/>
    <n v="50"/>
    <n v="22.5"/>
    <n v="100"/>
    <x v="1"/>
    <n v="7"/>
    <x v="1"/>
    <n v="28"/>
    <x v="3"/>
    <x v="1"/>
    <n v="77.5"/>
    <n v="0.77500000000000002"/>
    <n v="0"/>
  </r>
  <r>
    <n v="88"/>
    <d v="2023-02-16T00:00:00"/>
    <d v="1899-12-30T08:31:00"/>
    <n v="122"/>
    <x v="0"/>
    <x v="34"/>
    <x v="0"/>
    <n v="1"/>
    <n v="500"/>
    <n v="185"/>
    <n v="500"/>
    <x v="1"/>
    <n v="2"/>
    <x v="10"/>
    <n v="16"/>
    <x v="2"/>
    <x v="2"/>
    <n v="315"/>
    <n v="0.63"/>
    <n v="1"/>
  </r>
  <r>
    <n v="1088"/>
    <d v="2023-09-14T00:00:00"/>
    <d v="1899-12-30T07:00:00"/>
    <n v="6"/>
    <x v="0"/>
    <x v="34"/>
    <x v="0"/>
    <n v="1"/>
    <n v="500"/>
    <n v="155"/>
    <n v="500"/>
    <x v="1"/>
    <n v="9"/>
    <x v="9"/>
    <n v="14"/>
    <x v="2"/>
    <x v="1"/>
    <n v="345"/>
    <n v="0.69"/>
    <n v="1"/>
  </r>
  <r>
    <n v="975"/>
    <d v="2023-01-09T00:00:00"/>
    <d v="1899-12-30T07:41:00"/>
    <n v="145"/>
    <x v="1"/>
    <x v="34"/>
    <x v="0"/>
    <n v="4"/>
    <n v="50"/>
    <n v="19.5"/>
    <n v="200"/>
    <x v="1"/>
    <n v="1"/>
    <x v="3"/>
    <n v="9"/>
    <x v="1"/>
    <x v="2"/>
    <n v="180.5"/>
    <n v="0.90249999999999997"/>
    <n v="1"/>
  </r>
  <r>
    <n v="1975"/>
    <d v="2023-08-21T00:00:00"/>
    <d v="1899-12-30T10:48:00"/>
    <n v="63"/>
    <x v="1"/>
    <x v="34"/>
    <x v="0"/>
    <n v="4"/>
    <n v="50"/>
    <n v="25.5"/>
    <n v="200"/>
    <x v="1"/>
    <n v="8"/>
    <x v="4"/>
    <n v="21"/>
    <x v="1"/>
    <x v="1"/>
    <n v="174.5"/>
    <n v="0.87250000000000005"/>
    <n v="1"/>
  </r>
  <r>
    <n v="553"/>
    <d v="2023-03-20T00:00:00"/>
    <d v="1899-12-30T06:17:00"/>
    <n v="106"/>
    <x v="0"/>
    <x v="24"/>
    <x v="0"/>
    <n v="4"/>
    <n v="300"/>
    <n v="81"/>
    <n v="1200"/>
    <x v="1"/>
    <n v="3"/>
    <x v="8"/>
    <n v="20"/>
    <x v="1"/>
    <x v="2"/>
    <n v="1119"/>
    <n v="0.9325"/>
    <n v="1"/>
  </r>
  <r>
    <n v="1553"/>
    <d v="2023-01-29T00:00:00"/>
    <d v="1899-12-30T08:46:00"/>
    <n v="42"/>
    <x v="0"/>
    <x v="24"/>
    <x v="0"/>
    <n v="4"/>
    <n v="300"/>
    <n v="99"/>
    <n v="1200"/>
    <x v="1"/>
    <n v="1"/>
    <x v="3"/>
    <n v="29"/>
    <x v="5"/>
    <x v="2"/>
    <n v="1101"/>
    <n v="0.91749999999999998"/>
    <n v="1"/>
  </r>
  <r>
    <n v="462"/>
    <d v="2023-08-26T00:00:00"/>
    <d v="1899-12-30T10:04:00"/>
    <n v="71"/>
    <x v="0"/>
    <x v="15"/>
    <x v="2"/>
    <n v="4"/>
    <n v="300"/>
    <n v="132"/>
    <n v="1200"/>
    <x v="1"/>
    <n v="8"/>
    <x v="4"/>
    <n v="26"/>
    <x v="0"/>
    <x v="1"/>
    <n v="1068"/>
    <n v="0.89"/>
    <n v="1"/>
  </r>
  <r>
    <n v="614"/>
    <d v="2023-02-13T00:00:00"/>
    <d v="1899-12-30T06:28:00"/>
    <n v="61"/>
    <x v="1"/>
    <x v="27"/>
    <x v="1"/>
    <n v="4"/>
    <n v="300"/>
    <n v="120"/>
    <n v="1200"/>
    <x v="1"/>
    <n v="2"/>
    <x v="10"/>
    <n v="13"/>
    <x v="1"/>
    <x v="2"/>
    <n v="1080"/>
    <n v="0.9"/>
    <n v="1"/>
  </r>
  <r>
    <n v="808"/>
    <d v="2023-11-22T00:00:00"/>
    <d v="1899-12-30T07:18:00"/>
    <n v="30"/>
    <x v="0"/>
    <x v="19"/>
    <x v="1"/>
    <n v="4"/>
    <n v="500"/>
    <n v="195"/>
    <n v="2000"/>
    <x v="1"/>
    <n v="11"/>
    <x v="0"/>
    <n v="22"/>
    <x v="4"/>
    <x v="0"/>
    <n v="1805"/>
    <n v="0.90249999999999997"/>
    <n v="1"/>
  </r>
  <r>
    <n v="1462"/>
    <d v="2023-11-13T00:00:00"/>
    <d v="1899-12-30T10:42:00"/>
    <n v="124"/>
    <x v="0"/>
    <x v="15"/>
    <x v="2"/>
    <n v="4"/>
    <n v="300"/>
    <n v="114"/>
    <n v="1200"/>
    <x v="1"/>
    <n v="11"/>
    <x v="0"/>
    <n v="13"/>
    <x v="1"/>
    <x v="0"/>
    <n v="1086"/>
    <n v="0.90500000000000003"/>
    <n v="1"/>
  </r>
  <r>
    <n v="1614"/>
    <d v="2023-08-23T00:00:00"/>
    <d v="1899-12-30T11:37:00"/>
    <n v="135"/>
    <x v="1"/>
    <x v="27"/>
    <x v="1"/>
    <n v="4"/>
    <n v="300"/>
    <n v="105"/>
    <n v="1200"/>
    <x v="1"/>
    <n v="8"/>
    <x v="4"/>
    <n v="23"/>
    <x v="4"/>
    <x v="1"/>
    <n v="1095"/>
    <n v="0.91249999999999998"/>
    <n v="1"/>
  </r>
  <r>
    <n v="1808"/>
    <d v="2023-02-12T00:00:00"/>
    <d v="1899-12-30T10:48:00"/>
    <n v="109"/>
    <x v="0"/>
    <x v="19"/>
    <x v="1"/>
    <n v="4"/>
    <n v="500"/>
    <n v="210"/>
    <n v="2000"/>
    <x v="1"/>
    <n v="2"/>
    <x v="10"/>
    <n v="12"/>
    <x v="5"/>
    <x v="2"/>
    <n v="1790"/>
    <n v="0.89500000000000002"/>
    <n v="1"/>
  </r>
  <r>
    <n v="166"/>
    <d v="2023-01-28T00:00:00"/>
    <d v="1899-12-30T11:42:00"/>
    <n v="32"/>
    <x v="0"/>
    <x v="23"/>
    <x v="0"/>
    <n v="4"/>
    <n v="500"/>
    <n v="225"/>
    <n v="2000"/>
    <x v="1"/>
    <n v="1"/>
    <x v="3"/>
    <n v="28"/>
    <x v="0"/>
    <x v="2"/>
    <n v="1775"/>
    <n v="0.88749999999999996"/>
    <n v="1"/>
  </r>
  <r>
    <n v="465"/>
    <d v="2023-02-22T00:00:00"/>
    <d v="1899-12-30T11:52:00"/>
    <n v="40"/>
    <x v="1"/>
    <x v="22"/>
    <x v="2"/>
    <n v="3"/>
    <n v="50"/>
    <n v="15.5"/>
    <n v="150"/>
    <x v="1"/>
    <n v="2"/>
    <x v="10"/>
    <n v="22"/>
    <x v="4"/>
    <x v="2"/>
    <n v="134.5"/>
    <n v="0.89666666699999997"/>
    <n v="1"/>
  </r>
  <r>
    <n v="502"/>
    <d v="2023-07-22T00:00:00"/>
    <d v="1899-12-30T11:00:00"/>
    <n v="31"/>
    <x v="0"/>
    <x v="22"/>
    <x v="2"/>
    <n v="3"/>
    <n v="50"/>
    <n v="22.5"/>
    <n v="150"/>
    <x v="1"/>
    <n v="7"/>
    <x v="1"/>
    <n v="22"/>
    <x v="0"/>
    <x v="1"/>
    <n v="127.5"/>
    <n v="0.85"/>
    <n v="1"/>
  </r>
  <r>
    <n v="905"/>
    <d v="2023-10-01T00:00:00"/>
    <d v="1899-12-30T06:27:00"/>
    <n v="96"/>
    <x v="0"/>
    <x v="43"/>
    <x v="1"/>
    <n v="1"/>
    <n v="300"/>
    <n v="111"/>
    <n v="300"/>
    <x v="1"/>
    <n v="10"/>
    <x v="5"/>
    <n v="1"/>
    <x v="5"/>
    <x v="0"/>
    <n v="189"/>
    <n v="0.63"/>
    <n v="1"/>
  </r>
  <r>
    <n v="1166"/>
    <d v="2023-07-19T00:00:00"/>
    <d v="1899-12-30T07:45:00"/>
    <n v="65"/>
    <x v="0"/>
    <x v="23"/>
    <x v="0"/>
    <n v="4"/>
    <n v="500"/>
    <n v="245"/>
    <n v="2000"/>
    <x v="1"/>
    <n v="7"/>
    <x v="1"/>
    <n v="19"/>
    <x v="4"/>
    <x v="1"/>
    <n v="1755"/>
    <n v="0.87749999999999995"/>
    <n v="1"/>
  </r>
  <r>
    <n v="1465"/>
    <d v="2023-04-17T00:00:00"/>
    <d v="1899-12-30T09:36:00"/>
    <n v="131"/>
    <x v="1"/>
    <x v="22"/>
    <x v="2"/>
    <n v="3"/>
    <n v="50"/>
    <n v="26"/>
    <n v="150"/>
    <x v="1"/>
    <n v="4"/>
    <x v="6"/>
    <n v="17"/>
    <x v="1"/>
    <x v="3"/>
    <n v="124"/>
    <n v="0.82666666700000002"/>
    <n v="1"/>
  </r>
  <r>
    <n v="1502"/>
    <d v="2023-04-08T00:00:00"/>
    <d v="1899-12-30T08:30:00"/>
    <n v="152"/>
    <x v="0"/>
    <x v="22"/>
    <x v="2"/>
    <n v="3"/>
    <n v="50"/>
    <n v="18"/>
    <n v="150"/>
    <x v="1"/>
    <n v="4"/>
    <x v="6"/>
    <n v="8"/>
    <x v="0"/>
    <x v="3"/>
    <n v="132"/>
    <n v="0.88"/>
    <n v="1"/>
  </r>
  <r>
    <n v="1905"/>
    <d v="2023-08-29T00:00:00"/>
    <d v="1899-12-30T06:07:00"/>
    <n v="26"/>
    <x v="0"/>
    <x v="43"/>
    <x v="1"/>
    <n v="1"/>
    <n v="300"/>
    <n v="102"/>
    <n v="300"/>
    <x v="1"/>
    <n v="8"/>
    <x v="4"/>
    <n v="29"/>
    <x v="6"/>
    <x v="1"/>
    <n v="198"/>
    <n v="0.66"/>
    <n v="1"/>
  </r>
  <r>
    <n v="280"/>
    <d v="2023-11-17T00:00:00"/>
    <d v="1899-12-30T09:35:00"/>
    <n v="76"/>
    <x v="1"/>
    <x v="5"/>
    <x v="0"/>
    <n v="3"/>
    <n v="500"/>
    <n v="240"/>
    <n v="1500"/>
    <x v="1"/>
    <n v="11"/>
    <x v="0"/>
    <n v="17"/>
    <x v="3"/>
    <x v="0"/>
    <n v="1260"/>
    <n v="0.84"/>
    <n v="1"/>
  </r>
  <r>
    <n v="719"/>
    <d v="2023-07-02T00:00:00"/>
    <d v="1899-12-30T07:19:00"/>
    <n v="37"/>
    <x v="1"/>
    <x v="25"/>
    <x v="0"/>
    <n v="2"/>
    <n v="30"/>
    <n v="12"/>
    <n v="60"/>
    <x v="1"/>
    <n v="7"/>
    <x v="1"/>
    <n v="2"/>
    <x v="5"/>
    <x v="1"/>
    <n v="48"/>
    <n v="0.8"/>
    <n v="0"/>
  </r>
  <r>
    <n v="834"/>
    <d v="2023-11-26T00:00:00"/>
    <d v="1899-12-30T06:55:00"/>
    <n v="13"/>
    <x v="1"/>
    <x v="34"/>
    <x v="1"/>
    <n v="2"/>
    <n v="30"/>
    <n v="14.7"/>
    <n v="60"/>
    <x v="1"/>
    <n v="11"/>
    <x v="0"/>
    <n v="26"/>
    <x v="5"/>
    <x v="0"/>
    <n v="45.3"/>
    <n v="0.755"/>
    <n v="0"/>
  </r>
  <r>
    <n v="1280"/>
    <d v="2023-08-24T00:00:00"/>
    <d v="1899-12-30T09:15:00"/>
    <n v="116"/>
    <x v="1"/>
    <x v="5"/>
    <x v="0"/>
    <n v="3"/>
    <n v="500"/>
    <n v="255"/>
    <n v="1500"/>
    <x v="1"/>
    <n v="8"/>
    <x v="4"/>
    <n v="24"/>
    <x v="2"/>
    <x v="1"/>
    <n v="1245"/>
    <n v="0.83"/>
    <n v="1"/>
  </r>
  <r>
    <n v="1719"/>
    <d v="2023-12-28T00:00:00"/>
    <d v="1899-12-30T07:29:00"/>
    <n v="4"/>
    <x v="1"/>
    <x v="25"/>
    <x v="0"/>
    <n v="2"/>
    <n v="30"/>
    <n v="10.8"/>
    <n v="60"/>
    <x v="1"/>
    <n v="12"/>
    <x v="2"/>
    <n v="28"/>
    <x v="2"/>
    <x v="0"/>
    <n v="49.2"/>
    <n v="0.82"/>
    <n v="0"/>
  </r>
  <r>
    <n v="1834"/>
    <d v="2023-04-14T00:00:00"/>
    <d v="1899-12-30T06:53:00"/>
    <n v="102"/>
    <x v="1"/>
    <x v="34"/>
    <x v="1"/>
    <n v="2"/>
    <n v="30"/>
    <n v="12.9"/>
    <n v="60"/>
    <x v="1"/>
    <n v="4"/>
    <x v="6"/>
    <n v="14"/>
    <x v="3"/>
    <x v="3"/>
    <n v="47.1"/>
    <n v="0.78500000000000003"/>
    <n v="0"/>
  </r>
  <r>
    <n v="891"/>
    <d v="2023-01-09T00:00:00"/>
    <d v="1899-12-30T06:43:00"/>
    <n v="24"/>
    <x v="0"/>
    <x v="0"/>
    <x v="2"/>
    <n v="3"/>
    <n v="300"/>
    <n v="99"/>
    <n v="900"/>
    <x v="1"/>
    <n v="1"/>
    <x v="3"/>
    <n v="9"/>
    <x v="1"/>
    <x v="2"/>
    <n v="801"/>
    <n v="0.89"/>
    <n v="1"/>
  </r>
  <r>
    <n v="928"/>
    <d v="2023-11-05T00:00:00"/>
    <d v="1899-12-30T10:20:00"/>
    <n v="54"/>
    <x v="1"/>
    <x v="39"/>
    <x v="0"/>
    <n v="4"/>
    <n v="300"/>
    <n v="90"/>
    <n v="1200"/>
    <x v="1"/>
    <n v="11"/>
    <x v="0"/>
    <n v="5"/>
    <x v="5"/>
    <x v="0"/>
    <n v="1110"/>
    <n v="0.92500000000000004"/>
    <n v="1"/>
  </r>
  <r>
    <n v="1891"/>
    <d v="2023-12-22T00:00:00"/>
    <d v="1899-12-30T06:11:00"/>
    <n v="81"/>
    <x v="0"/>
    <x v="0"/>
    <x v="2"/>
    <n v="3"/>
    <n v="300"/>
    <n v="105"/>
    <n v="900"/>
    <x v="1"/>
    <n v="12"/>
    <x v="2"/>
    <n v="22"/>
    <x v="3"/>
    <x v="0"/>
    <n v="795"/>
    <n v="0.88333333300000005"/>
    <n v="1"/>
  </r>
  <r>
    <n v="1928"/>
    <d v="2023-07-29T00:00:00"/>
    <d v="1899-12-30T06:39:00"/>
    <n v="93"/>
    <x v="1"/>
    <x v="39"/>
    <x v="0"/>
    <n v="4"/>
    <n v="300"/>
    <n v="75"/>
    <n v="1200"/>
    <x v="1"/>
    <n v="7"/>
    <x v="1"/>
    <n v="29"/>
    <x v="0"/>
    <x v="1"/>
    <n v="1125"/>
    <n v="0.9375"/>
    <n v="1"/>
  </r>
  <r>
    <n v="332"/>
    <d v="2023-04-24T00:00:00"/>
    <d v="1899-12-30T11:28:00"/>
    <n v="138"/>
    <x v="0"/>
    <x v="43"/>
    <x v="2"/>
    <n v="4"/>
    <n v="300"/>
    <n v="105"/>
    <n v="1200"/>
    <x v="1"/>
    <n v="4"/>
    <x v="6"/>
    <n v="24"/>
    <x v="1"/>
    <x v="3"/>
    <n v="1095"/>
    <n v="0.91249999999999998"/>
    <n v="1"/>
  </r>
  <r>
    <n v="1332"/>
    <d v="2023-12-04T00:00:00"/>
    <d v="1899-12-30T10:02:00"/>
    <n v="146"/>
    <x v="0"/>
    <x v="43"/>
    <x v="2"/>
    <n v="4"/>
    <n v="300"/>
    <n v="123"/>
    <n v="1200"/>
    <x v="1"/>
    <n v="12"/>
    <x v="2"/>
    <n v="4"/>
    <x v="1"/>
    <x v="0"/>
    <n v="1077"/>
    <n v="0.89749999999999996"/>
    <n v="1"/>
  </r>
  <r>
    <n v="255"/>
    <d v="2023-10-15T00:00:00"/>
    <d v="1899-12-30T11:44:00"/>
    <n v="19"/>
    <x v="0"/>
    <x v="42"/>
    <x v="0"/>
    <n v="1"/>
    <n v="30"/>
    <n v="14.7"/>
    <n v="30"/>
    <x v="1"/>
    <n v="10"/>
    <x v="5"/>
    <n v="15"/>
    <x v="5"/>
    <x v="0"/>
    <n v="15.3"/>
    <n v="0.51"/>
    <n v="0"/>
  </r>
  <r>
    <n v="275"/>
    <d v="2023-03-05T00:00:00"/>
    <d v="1899-12-30T11:34:00"/>
    <n v="2"/>
    <x v="0"/>
    <x v="22"/>
    <x v="0"/>
    <n v="2"/>
    <n v="500"/>
    <n v="260"/>
    <n v="1000"/>
    <x v="1"/>
    <n v="3"/>
    <x v="8"/>
    <n v="5"/>
    <x v="5"/>
    <x v="2"/>
    <n v="740"/>
    <n v="0.74"/>
    <n v="1"/>
  </r>
  <r>
    <n v="314"/>
    <d v="2023-10-15T00:00:00"/>
    <d v="1899-12-30T07:37:00"/>
    <n v="1"/>
    <x v="0"/>
    <x v="41"/>
    <x v="0"/>
    <n v="4"/>
    <n v="30"/>
    <n v="7.8"/>
    <n v="120"/>
    <x v="1"/>
    <n v="10"/>
    <x v="5"/>
    <n v="15"/>
    <x v="5"/>
    <x v="0"/>
    <n v="112.2"/>
    <n v="0.93500000000000005"/>
    <n v="0"/>
  </r>
  <r>
    <n v="517"/>
    <d v="2023-08-20T00:00:00"/>
    <d v="1899-12-30T08:54:00"/>
    <n v="3"/>
    <x v="1"/>
    <x v="35"/>
    <x v="0"/>
    <n v="4"/>
    <n v="25"/>
    <n v="9.25"/>
    <n v="100"/>
    <x v="1"/>
    <n v="8"/>
    <x v="4"/>
    <n v="20"/>
    <x v="5"/>
    <x v="1"/>
    <n v="90.75"/>
    <n v="0.90749999999999997"/>
    <n v="0"/>
  </r>
  <r>
    <n v="847"/>
    <d v="2023-01-10T00:00:00"/>
    <d v="1899-12-30T08:42:00"/>
    <n v="2"/>
    <x v="1"/>
    <x v="18"/>
    <x v="2"/>
    <n v="4"/>
    <n v="300"/>
    <n v="162"/>
    <n v="1200"/>
    <x v="1"/>
    <n v="1"/>
    <x v="3"/>
    <n v="10"/>
    <x v="6"/>
    <x v="2"/>
    <n v="1038"/>
    <n v="0.86499999999999999"/>
    <n v="1"/>
  </r>
  <r>
    <n v="1255"/>
    <d v="2023-01-20T00:00:00"/>
    <d v="1899-12-30T07:08:00"/>
    <n v="4"/>
    <x v="0"/>
    <x v="42"/>
    <x v="0"/>
    <n v="1"/>
    <n v="30"/>
    <n v="7.8"/>
    <n v="30"/>
    <x v="1"/>
    <n v="1"/>
    <x v="3"/>
    <n v="20"/>
    <x v="3"/>
    <x v="2"/>
    <n v="22.2"/>
    <n v="0.74"/>
    <n v="0"/>
  </r>
  <r>
    <n v="1275"/>
    <d v="2023-03-02T00:00:00"/>
    <d v="1899-12-30T08:48:00"/>
    <n v="5"/>
    <x v="0"/>
    <x v="22"/>
    <x v="0"/>
    <n v="2"/>
    <n v="500"/>
    <n v="250"/>
    <n v="1000"/>
    <x v="1"/>
    <n v="3"/>
    <x v="8"/>
    <n v="2"/>
    <x v="2"/>
    <x v="2"/>
    <n v="750"/>
    <n v="0.75"/>
    <n v="1"/>
  </r>
  <r>
    <n v="1314"/>
    <d v="2023-05-23T00:00:00"/>
    <d v="1899-12-30T10:26:00"/>
    <n v="2"/>
    <x v="0"/>
    <x v="41"/>
    <x v="0"/>
    <n v="4"/>
    <n v="30"/>
    <n v="16.2"/>
    <n v="120"/>
    <x v="1"/>
    <n v="5"/>
    <x v="7"/>
    <n v="23"/>
    <x v="6"/>
    <x v="3"/>
    <n v="103.8"/>
    <n v="0.86499999999999999"/>
    <n v="0"/>
  </r>
  <r>
    <n v="1517"/>
    <d v="2023-02-21T00:00:00"/>
    <d v="1899-12-30T08:46:00"/>
    <n v="2"/>
    <x v="1"/>
    <x v="35"/>
    <x v="0"/>
    <n v="4"/>
    <n v="25"/>
    <n v="6.75"/>
    <n v="100"/>
    <x v="1"/>
    <n v="2"/>
    <x v="10"/>
    <n v="21"/>
    <x v="6"/>
    <x v="2"/>
    <n v="93.25"/>
    <n v="0.9325"/>
    <n v="0"/>
  </r>
  <r>
    <n v="1847"/>
    <d v="2023-07-28T00:00:00"/>
    <d v="1899-12-30T07:14:00"/>
    <n v="5"/>
    <x v="1"/>
    <x v="18"/>
    <x v="2"/>
    <n v="4"/>
    <n v="300"/>
    <n v="123"/>
    <n v="1200"/>
    <x v="1"/>
    <n v="7"/>
    <x v="1"/>
    <n v="28"/>
    <x v="3"/>
    <x v="1"/>
    <n v="1077"/>
    <n v="0.89749999999999996"/>
    <n v="1"/>
  </r>
  <r>
    <n v="61"/>
    <d v="2023-07-07T00:00:00"/>
    <d v="1899-12-30T11:47:00"/>
    <n v="4"/>
    <x v="0"/>
    <x v="40"/>
    <x v="1"/>
    <n v="4"/>
    <n v="50"/>
    <n v="20"/>
    <n v="200"/>
    <x v="1"/>
    <n v="7"/>
    <x v="1"/>
    <n v="7"/>
    <x v="3"/>
    <x v="1"/>
    <n v="180"/>
    <n v="0.9"/>
    <n v="1"/>
  </r>
  <r>
    <n v="274"/>
    <d v="2023-04-14T00:00:00"/>
    <d v="1899-12-30T07:12:00"/>
    <n v="4"/>
    <x v="1"/>
    <x v="8"/>
    <x v="0"/>
    <n v="2"/>
    <n v="500"/>
    <n v="150"/>
    <n v="1000"/>
    <x v="1"/>
    <n v="4"/>
    <x v="6"/>
    <n v="14"/>
    <x v="3"/>
    <x v="3"/>
    <n v="850"/>
    <n v="0.85"/>
    <n v="1"/>
  </r>
  <r>
    <n v="486"/>
    <d v="2023-12-02T00:00:00"/>
    <d v="1899-12-30T09:47:00"/>
    <n v="4"/>
    <x v="1"/>
    <x v="39"/>
    <x v="2"/>
    <n v="1"/>
    <n v="25"/>
    <n v="6.5"/>
    <n v="25"/>
    <x v="1"/>
    <n v="12"/>
    <x v="2"/>
    <n v="2"/>
    <x v="0"/>
    <x v="0"/>
    <n v="18.5"/>
    <n v="0.74"/>
    <n v="0"/>
  </r>
  <r>
    <n v="548"/>
    <d v="2023-04-14T00:00:00"/>
    <d v="1899-12-30T07:00:00"/>
    <n v="4"/>
    <x v="1"/>
    <x v="12"/>
    <x v="0"/>
    <n v="2"/>
    <n v="30"/>
    <n v="15.6"/>
    <n v="60"/>
    <x v="1"/>
    <n v="4"/>
    <x v="6"/>
    <n v="14"/>
    <x v="3"/>
    <x v="3"/>
    <n v="44.4"/>
    <n v="0.74"/>
    <n v="0"/>
  </r>
  <r>
    <n v="886"/>
    <d v="2023-12-11T00:00:00"/>
    <d v="1899-12-30T11:25:00"/>
    <n v="4"/>
    <x v="0"/>
    <x v="5"/>
    <x v="2"/>
    <n v="3"/>
    <n v="300"/>
    <n v="165"/>
    <n v="900"/>
    <x v="1"/>
    <n v="12"/>
    <x v="2"/>
    <n v="11"/>
    <x v="1"/>
    <x v="0"/>
    <n v="735"/>
    <n v="0.81666666700000001"/>
    <n v="1"/>
  </r>
  <r>
    <n v="892"/>
    <d v="2023-09-13T00:00:00"/>
    <d v="1899-12-30T11:39:00"/>
    <n v="1"/>
    <x v="0"/>
    <x v="36"/>
    <x v="2"/>
    <n v="1"/>
    <n v="50"/>
    <n v="24"/>
    <n v="50"/>
    <x v="1"/>
    <n v="9"/>
    <x v="9"/>
    <n v="13"/>
    <x v="4"/>
    <x v="1"/>
    <n v="26"/>
    <n v="0.52"/>
    <n v="0"/>
  </r>
  <r>
    <n v="1061"/>
    <d v="2023-09-18T00:00:00"/>
    <d v="1899-12-30T07:56:00"/>
    <n v="3"/>
    <x v="0"/>
    <x v="40"/>
    <x v="1"/>
    <n v="4"/>
    <n v="50"/>
    <n v="12.5"/>
    <n v="200"/>
    <x v="1"/>
    <n v="9"/>
    <x v="9"/>
    <n v="18"/>
    <x v="1"/>
    <x v="1"/>
    <n v="187.5"/>
    <n v="0.9375"/>
    <n v="1"/>
  </r>
  <r>
    <n v="1274"/>
    <d v="2023-10-06T00:00:00"/>
    <d v="1899-12-30T09:01:00"/>
    <n v="2"/>
    <x v="1"/>
    <x v="8"/>
    <x v="0"/>
    <n v="2"/>
    <n v="500"/>
    <n v="185"/>
    <n v="1000"/>
    <x v="1"/>
    <n v="10"/>
    <x v="5"/>
    <n v="6"/>
    <x v="3"/>
    <x v="0"/>
    <n v="815"/>
    <n v="0.81499999999999995"/>
    <n v="1"/>
  </r>
  <r>
    <n v="1486"/>
    <d v="2023-11-22T00:00:00"/>
    <d v="1899-12-30T08:58:00"/>
    <n v="4"/>
    <x v="1"/>
    <x v="39"/>
    <x v="2"/>
    <n v="1"/>
    <n v="25"/>
    <n v="8.75"/>
    <n v="25"/>
    <x v="1"/>
    <n v="11"/>
    <x v="0"/>
    <n v="22"/>
    <x v="4"/>
    <x v="0"/>
    <n v="16.25"/>
    <n v="0.65"/>
    <n v="0"/>
  </r>
  <r>
    <n v="1548"/>
    <d v="2023-01-13T00:00:00"/>
    <d v="1899-12-30T08:15:00"/>
    <n v="1"/>
    <x v="1"/>
    <x v="12"/>
    <x v="0"/>
    <n v="2"/>
    <n v="30"/>
    <n v="12.6"/>
    <n v="60"/>
    <x v="1"/>
    <n v="1"/>
    <x v="3"/>
    <n v="13"/>
    <x v="3"/>
    <x v="2"/>
    <n v="47.4"/>
    <n v="0.79"/>
    <n v="0"/>
  </r>
  <r>
    <n v="1886"/>
    <d v="2023-07-26T00:00:00"/>
    <d v="1899-12-30T11:51:00"/>
    <n v="1"/>
    <x v="0"/>
    <x v="5"/>
    <x v="2"/>
    <n v="3"/>
    <n v="300"/>
    <n v="147"/>
    <n v="900"/>
    <x v="1"/>
    <n v="7"/>
    <x v="1"/>
    <n v="26"/>
    <x v="4"/>
    <x v="1"/>
    <n v="753"/>
    <n v="0.83666666700000003"/>
    <n v="1"/>
  </r>
  <r>
    <n v="1892"/>
    <d v="2023-10-01T00:00:00"/>
    <d v="1899-12-30T07:22:00"/>
    <n v="3"/>
    <x v="0"/>
    <x v="36"/>
    <x v="2"/>
    <n v="1"/>
    <n v="50"/>
    <n v="23.5"/>
    <n v="50"/>
    <x v="1"/>
    <n v="10"/>
    <x v="5"/>
    <n v="1"/>
    <x v="5"/>
    <x v="0"/>
    <n v="26.5"/>
    <n v="0.53"/>
    <n v="0"/>
  </r>
  <r>
    <n v="601"/>
    <d v="2023-06-05T00:00:00"/>
    <d v="1899-12-30T09:23:00"/>
    <n v="5"/>
    <x v="0"/>
    <x v="4"/>
    <x v="0"/>
    <n v="1"/>
    <n v="30"/>
    <n v="13.2"/>
    <n v="30"/>
    <x v="1"/>
    <n v="6"/>
    <x v="11"/>
    <n v="5"/>
    <x v="1"/>
    <x v="3"/>
    <n v="16.8"/>
    <n v="0.56000000000000005"/>
    <n v="0"/>
  </r>
  <r>
    <n v="901"/>
    <d v="2023-08-02T00:00:00"/>
    <d v="1899-12-30T06:38:00"/>
    <n v="2"/>
    <x v="0"/>
    <x v="16"/>
    <x v="2"/>
    <n v="1"/>
    <n v="30"/>
    <n v="12"/>
    <n v="30"/>
    <x v="1"/>
    <n v="8"/>
    <x v="4"/>
    <n v="2"/>
    <x v="4"/>
    <x v="1"/>
    <n v="18"/>
    <n v="0.6"/>
    <n v="0"/>
  </r>
  <r>
    <n v="1601"/>
    <d v="2023-09-14T00:00:00"/>
    <d v="1899-12-30T11:48:00"/>
    <n v="1"/>
    <x v="0"/>
    <x v="4"/>
    <x v="0"/>
    <n v="1"/>
    <n v="30"/>
    <n v="13.5"/>
    <n v="30"/>
    <x v="1"/>
    <n v="9"/>
    <x v="9"/>
    <n v="14"/>
    <x v="2"/>
    <x v="1"/>
    <n v="16.5"/>
    <n v="0.55000000000000004"/>
    <n v="0"/>
  </r>
  <r>
    <n v="1901"/>
    <d v="2023-11-29T00:00:00"/>
    <d v="1899-12-30T11:05:00"/>
    <n v="4"/>
    <x v="0"/>
    <x v="16"/>
    <x v="2"/>
    <n v="1"/>
    <n v="30"/>
    <n v="8.4"/>
    <n v="30"/>
    <x v="1"/>
    <n v="11"/>
    <x v="0"/>
    <n v="29"/>
    <x v="4"/>
    <x v="0"/>
    <n v="21.6"/>
    <n v="0.72"/>
    <n v="0"/>
  </r>
  <r>
    <n v="527"/>
    <d v="2023-04-21T00:00:00"/>
    <d v="1899-12-30T11:35:00"/>
    <n v="1"/>
    <x v="0"/>
    <x v="10"/>
    <x v="0"/>
    <n v="2"/>
    <n v="25"/>
    <n v="11.5"/>
    <n v="50"/>
    <x v="1"/>
    <n v="4"/>
    <x v="6"/>
    <n v="21"/>
    <x v="3"/>
    <x v="3"/>
    <n v="38.5"/>
    <n v="0.77"/>
    <n v="0"/>
  </r>
  <r>
    <n v="1527"/>
    <d v="2023-09-29T00:00:00"/>
    <d v="1899-12-30T08:30:00"/>
    <n v="1"/>
    <x v="0"/>
    <x v="10"/>
    <x v="0"/>
    <n v="2"/>
    <n v="25"/>
    <n v="11.75"/>
    <n v="50"/>
    <x v="1"/>
    <n v="9"/>
    <x v="9"/>
    <n v="29"/>
    <x v="3"/>
    <x v="1"/>
    <n v="38.25"/>
    <n v="0.76500000000000001"/>
    <n v="0"/>
  </r>
  <r>
    <n v="23"/>
    <d v="2023-09-28T00:00:00"/>
    <d v="1899-12-30T07:05:00"/>
    <n v="4"/>
    <x v="1"/>
    <x v="39"/>
    <x v="0"/>
    <n v="4"/>
    <n v="30"/>
    <n v="14.7"/>
    <n v="120"/>
    <x v="1"/>
    <n v="9"/>
    <x v="9"/>
    <n v="28"/>
    <x v="2"/>
    <x v="1"/>
    <n v="105.3"/>
    <n v="0.87749999999999995"/>
    <n v="0"/>
  </r>
  <r>
    <n v="174"/>
    <d v="2023-11-15T00:00:00"/>
    <d v="1899-12-30T06:07:00"/>
    <n v="2"/>
    <x v="1"/>
    <x v="27"/>
    <x v="1"/>
    <n v="1"/>
    <n v="300"/>
    <n v="126"/>
    <n v="300"/>
    <x v="1"/>
    <n v="11"/>
    <x v="0"/>
    <n v="15"/>
    <x v="4"/>
    <x v="0"/>
    <n v="174"/>
    <n v="0.57999999999999996"/>
    <n v="1"/>
  </r>
  <r>
    <n v="589"/>
    <d v="2023-07-08T00:00:00"/>
    <d v="1899-12-30T07:11:00"/>
    <n v="5"/>
    <x v="1"/>
    <x v="31"/>
    <x v="1"/>
    <n v="2"/>
    <n v="500"/>
    <n v="145"/>
    <n v="1000"/>
    <x v="1"/>
    <n v="7"/>
    <x v="1"/>
    <n v="8"/>
    <x v="0"/>
    <x v="1"/>
    <n v="855"/>
    <n v="0.85499999999999998"/>
    <n v="1"/>
  </r>
  <r>
    <n v="774"/>
    <d v="2023-11-06T00:00:00"/>
    <d v="1899-12-30T09:04:00"/>
    <n v="2"/>
    <x v="1"/>
    <x v="2"/>
    <x v="0"/>
    <n v="2"/>
    <n v="25"/>
    <n v="6.5"/>
    <n v="50"/>
    <x v="1"/>
    <n v="11"/>
    <x v="0"/>
    <n v="6"/>
    <x v="1"/>
    <x v="0"/>
    <n v="43.5"/>
    <n v="0.87"/>
    <n v="0"/>
  </r>
  <r>
    <n v="1000"/>
    <d v="2023-04-01T00:00:00"/>
    <d v="1899-12-30T10:22:00"/>
    <n v="1"/>
    <x v="0"/>
    <x v="35"/>
    <x v="2"/>
    <n v="4"/>
    <n v="30"/>
    <n v="8.4"/>
    <n v="120"/>
    <x v="1"/>
    <n v="4"/>
    <x v="6"/>
    <n v="1"/>
    <x v="0"/>
    <x v="3"/>
    <n v="111.6"/>
    <n v="0.93"/>
    <n v="0"/>
  </r>
  <r>
    <n v="1023"/>
    <d v="2023-05-23T00:00:00"/>
    <d v="1899-12-30T08:40:00"/>
    <n v="5"/>
    <x v="1"/>
    <x v="39"/>
    <x v="0"/>
    <n v="4"/>
    <n v="30"/>
    <n v="8.1"/>
    <n v="120"/>
    <x v="1"/>
    <n v="5"/>
    <x v="7"/>
    <n v="23"/>
    <x v="6"/>
    <x v="3"/>
    <n v="111.9"/>
    <n v="0.9325"/>
    <n v="0"/>
  </r>
  <r>
    <n v="1174"/>
    <d v="2023-05-17T00:00:00"/>
    <d v="1899-12-30T06:55:00"/>
    <n v="2"/>
    <x v="1"/>
    <x v="27"/>
    <x v="1"/>
    <n v="1"/>
    <n v="300"/>
    <n v="132"/>
    <n v="300"/>
    <x v="1"/>
    <n v="5"/>
    <x v="7"/>
    <n v="17"/>
    <x v="4"/>
    <x v="3"/>
    <n v="168"/>
    <n v="0.56000000000000005"/>
    <n v="1"/>
  </r>
  <r>
    <n v="1589"/>
    <d v="2023-07-01T00:00:00"/>
    <d v="1899-12-30T06:30:00"/>
    <n v="5"/>
    <x v="1"/>
    <x v="31"/>
    <x v="1"/>
    <n v="2"/>
    <n v="500"/>
    <n v="145"/>
    <n v="1000"/>
    <x v="1"/>
    <n v="7"/>
    <x v="1"/>
    <n v="1"/>
    <x v="0"/>
    <x v="1"/>
    <n v="855"/>
    <n v="0.85499999999999998"/>
    <n v="1"/>
  </r>
  <r>
    <n v="1774"/>
    <d v="2023-03-09T00:00:00"/>
    <d v="1899-12-30T06:48:00"/>
    <n v="2"/>
    <x v="1"/>
    <x v="2"/>
    <x v="0"/>
    <n v="2"/>
    <n v="25"/>
    <n v="8"/>
    <n v="50"/>
    <x v="1"/>
    <n v="3"/>
    <x v="8"/>
    <n v="9"/>
    <x v="2"/>
    <x v="2"/>
    <n v="42"/>
    <n v="0.84"/>
    <n v="0"/>
  </r>
  <r>
    <n v="2000"/>
    <d v="2023-03-31T00:00:00"/>
    <d v="1899-12-30T06:38:00"/>
    <n v="4"/>
    <x v="0"/>
    <x v="35"/>
    <x v="2"/>
    <n v="4"/>
    <n v="30"/>
    <n v="10.8"/>
    <n v="120"/>
    <x v="1"/>
    <n v="3"/>
    <x v="8"/>
    <n v="31"/>
    <x v="3"/>
    <x v="2"/>
    <n v="109.2"/>
    <n v="0.91"/>
    <n v="0"/>
  </r>
  <r>
    <n v="210"/>
    <d v="2023-10-07T00:00:00"/>
    <d v="1899-12-30T08:50:00"/>
    <n v="2"/>
    <x v="0"/>
    <x v="5"/>
    <x v="2"/>
    <n v="4"/>
    <n v="50"/>
    <n v="19"/>
    <n v="200"/>
    <x v="1"/>
    <n v="10"/>
    <x v="5"/>
    <n v="7"/>
    <x v="0"/>
    <x v="0"/>
    <n v="181"/>
    <n v="0.90500000000000003"/>
    <n v="1"/>
  </r>
  <r>
    <n v="478"/>
    <d v="2023-07-24T00:00:00"/>
    <d v="1899-12-30T11:13:00"/>
    <n v="3"/>
    <x v="1"/>
    <x v="43"/>
    <x v="0"/>
    <n v="2"/>
    <n v="30"/>
    <n v="8.1"/>
    <n v="60"/>
    <x v="1"/>
    <n v="7"/>
    <x v="1"/>
    <n v="24"/>
    <x v="1"/>
    <x v="1"/>
    <n v="51.9"/>
    <n v="0.86499999999999999"/>
    <n v="0"/>
  </r>
  <r>
    <n v="745"/>
    <d v="2023-08-14T00:00:00"/>
    <d v="1899-12-30T07:30:00"/>
    <n v="3"/>
    <x v="0"/>
    <x v="29"/>
    <x v="1"/>
    <n v="2"/>
    <n v="50"/>
    <n v="17"/>
    <n v="100"/>
    <x v="1"/>
    <n v="8"/>
    <x v="4"/>
    <n v="14"/>
    <x v="1"/>
    <x v="1"/>
    <n v="83"/>
    <n v="0.83"/>
    <n v="0"/>
  </r>
  <r>
    <n v="1210"/>
    <d v="2023-03-10T00:00:00"/>
    <d v="1899-12-30T10:02:00"/>
    <n v="5"/>
    <x v="0"/>
    <x v="5"/>
    <x v="2"/>
    <n v="4"/>
    <n v="50"/>
    <n v="12.5"/>
    <n v="200"/>
    <x v="1"/>
    <n v="3"/>
    <x v="8"/>
    <n v="10"/>
    <x v="3"/>
    <x v="2"/>
    <n v="187.5"/>
    <n v="0.9375"/>
    <n v="1"/>
  </r>
  <r>
    <n v="1478"/>
    <d v="2023-08-31T00:00:00"/>
    <d v="1899-12-30T09:18:00"/>
    <n v="1"/>
    <x v="1"/>
    <x v="43"/>
    <x v="0"/>
    <n v="2"/>
    <n v="30"/>
    <n v="13.5"/>
    <n v="60"/>
    <x v="1"/>
    <n v="8"/>
    <x v="4"/>
    <n v="31"/>
    <x v="2"/>
    <x v="1"/>
    <n v="46.5"/>
    <n v="0.77500000000000002"/>
    <n v="0"/>
  </r>
  <r>
    <n v="1745"/>
    <d v="2023-09-28T00:00:00"/>
    <d v="1899-12-30T10:38:00"/>
    <n v="4"/>
    <x v="0"/>
    <x v="29"/>
    <x v="1"/>
    <n v="2"/>
    <n v="50"/>
    <n v="21"/>
    <n v="100"/>
    <x v="1"/>
    <n v="9"/>
    <x v="9"/>
    <n v="28"/>
    <x v="2"/>
    <x v="1"/>
    <n v="79"/>
    <n v="0.79"/>
    <n v="0"/>
  </r>
  <r>
    <n v="354"/>
    <d v="2023-12-16T00:00:00"/>
    <d v="1899-12-30T07:58:00"/>
    <n v="5"/>
    <x v="1"/>
    <x v="28"/>
    <x v="1"/>
    <n v="4"/>
    <n v="50"/>
    <n v="24.5"/>
    <n v="200"/>
    <x v="1"/>
    <n v="12"/>
    <x v="2"/>
    <n v="16"/>
    <x v="0"/>
    <x v="0"/>
    <n v="175.5"/>
    <n v="0.87749999999999995"/>
    <n v="1"/>
  </r>
  <r>
    <n v="408"/>
    <d v="2023-12-22T00:00:00"/>
    <d v="1899-12-30T08:18:00"/>
    <n v="4"/>
    <x v="1"/>
    <x v="3"/>
    <x v="1"/>
    <n v="1"/>
    <n v="500"/>
    <n v="140"/>
    <n v="500"/>
    <x v="1"/>
    <n v="12"/>
    <x v="2"/>
    <n v="22"/>
    <x v="3"/>
    <x v="0"/>
    <n v="360"/>
    <n v="0.72"/>
    <n v="1"/>
  </r>
  <r>
    <n v="1354"/>
    <d v="2023-09-17T00:00:00"/>
    <d v="1899-12-30T09:34:00"/>
    <n v="5"/>
    <x v="1"/>
    <x v="28"/>
    <x v="1"/>
    <n v="4"/>
    <n v="50"/>
    <n v="26.5"/>
    <n v="200"/>
    <x v="1"/>
    <n v="9"/>
    <x v="9"/>
    <n v="17"/>
    <x v="5"/>
    <x v="1"/>
    <n v="173.5"/>
    <n v="0.86750000000000005"/>
    <n v="1"/>
  </r>
  <r>
    <n v="1408"/>
    <d v="2023-08-28T00:00:00"/>
    <d v="1899-12-30T08:17:00"/>
    <n v="2"/>
    <x v="1"/>
    <x v="3"/>
    <x v="1"/>
    <n v="1"/>
    <n v="500"/>
    <n v="250"/>
    <n v="500"/>
    <x v="1"/>
    <n v="8"/>
    <x v="4"/>
    <n v="28"/>
    <x v="1"/>
    <x v="1"/>
    <n v="250"/>
    <n v="0.5"/>
    <n v="1"/>
  </r>
  <r>
    <n v="674"/>
    <d v="2023-03-30T00:00:00"/>
    <d v="1899-12-30T11:10:00"/>
    <n v="2"/>
    <x v="1"/>
    <x v="9"/>
    <x v="0"/>
    <n v="1"/>
    <n v="300"/>
    <n v="84"/>
    <n v="300"/>
    <x v="1"/>
    <n v="3"/>
    <x v="8"/>
    <n v="30"/>
    <x v="2"/>
    <x v="2"/>
    <n v="216"/>
    <n v="0.72"/>
    <n v="1"/>
  </r>
  <r>
    <n v="1674"/>
    <d v="2023-11-22T00:00:00"/>
    <d v="1899-12-30T09:21:00"/>
    <n v="1"/>
    <x v="1"/>
    <x v="9"/>
    <x v="0"/>
    <n v="1"/>
    <n v="300"/>
    <n v="123"/>
    <n v="300"/>
    <x v="1"/>
    <n v="11"/>
    <x v="0"/>
    <n v="22"/>
    <x v="4"/>
    <x v="0"/>
    <n v="177"/>
    <n v="0.59"/>
    <n v="1"/>
  </r>
  <r>
    <n v="967"/>
    <d v="2023-08-04T00:00:00"/>
    <d v="1899-12-30T10:13:00"/>
    <n v="4"/>
    <x v="0"/>
    <x v="44"/>
    <x v="1"/>
    <n v="1"/>
    <n v="25"/>
    <n v="13.25"/>
    <n v="25"/>
    <x v="1"/>
    <n v="8"/>
    <x v="4"/>
    <n v="4"/>
    <x v="3"/>
    <x v="1"/>
    <n v="11.75"/>
    <n v="0.47"/>
    <n v="0"/>
  </r>
  <r>
    <n v="1967"/>
    <d v="2023-02-23T00:00:00"/>
    <d v="1899-12-30T08:28:00"/>
    <n v="4"/>
    <x v="0"/>
    <x v="44"/>
    <x v="1"/>
    <n v="1"/>
    <n v="25"/>
    <n v="12.25"/>
    <n v="25"/>
    <x v="1"/>
    <n v="2"/>
    <x v="10"/>
    <n v="23"/>
    <x v="2"/>
    <x v="2"/>
    <n v="12.75"/>
    <n v="0.51"/>
    <n v="0"/>
  </r>
  <r>
    <n v="79"/>
    <d v="2023-04-13T00:00:00"/>
    <d v="1899-12-30T10:15:00"/>
    <n v="1"/>
    <x v="0"/>
    <x v="23"/>
    <x v="1"/>
    <n v="1"/>
    <n v="300"/>
    <n v="96"/>
    <n v="300"/>
    <x v="1"/>
    <n v="4"/>
    <x v="6"/>
    <n v="13"/>
    <x v="2"/>
    <x v="3"/>
    <n v="204"/>
    <n v="0.68"/>
    <n v="1"/>
  </r>
  <r>
    <n v="406"/>
    <d v="2023-04-01T00:00:00"/>
    <d v="1899-12-30T11:50:00"/>
    <n v="3"/>
    <x v="1"/>
    <x v="30"/>
    <x v="1"/>
    <n v="4"/>
    <n v="25"/>
    <n v="11"/>
    <n v="100"/>
    <x v="1"/>
    <n v="4"/>
    <x v="6"/>
    <n v="1"/>
    <x v="0"/>
    <x v="3"/>
    <n v="89"/>
    <n v="0.89"/>
    <n v="0"/>
  </r>
  <r>
    <n v="450"/>
    <d v="2023-12-01T00:00:00"/>
    <d v="1899-12-30T06:35:00"/>
    <n v="2"/>
    <x v="1"/>
    <x v="26"/>
    <x v="1"/>
    <n v="2"/>
    <n v="25"/>
    <n v="11"/>
    <n v="50"/>
    <x v="1"/>
    <n v="12"/>
    <x v="2"/>
    <n v="1"/>
    <x v="3"/>
    <x v="0"/>
    <n v="39"/>
    <n v="0.78"/>
    <n v="0"/>
  </r>
  <r>
    <n v="562"/>
    <d v="2023-11-09T00:00:00"/>
    <d v="1899-12-30T09:26:00"/>
    <n v="3"/>
    <x v="0"/>
    <x v="29"/>
    <x v="2"/>
    <n v="2"/>
    <n v="25"/>
    <n v="7.25"/>
    <n v="50"/>
    <x v="1"/>
    <n v="11"/>
    <x v="0"/>
    <n v="9"/>
    <x v="2"/>
    <x v="0"/>
    <n v="42.75"/>
    <n v="0.85499999999999998"/>
    <n v="0"/>
  </r>
  <r>
    <n v="1079"/>
    <d v="2023-08-21T00:00:00"/>
    <d v="1899-12-30T06:45:00"/>
    <n v="1"/>
    <x v="0"/>
    <x v="23"/>
    <x v="1"/>
    <n v="1"/>
    <n v="300"/>
    <n v="117"/>
    <n v="300"/>
    <x v="1"/>
    <n v="8"/>
    <x v="4"/>
    <n v="21"/>
    <x v="1"/>
    <x v="1"/>
    <n v="183"/>
    <n v="0.61"/>
    <n v="1"/>
  </r>
  <r>
    <n v="1406"/>
    <d v="2023-06-22T00:00:00"/>
    <d v="1899-12-30T08:45:00"/>
    <n v="2"/>
    <x v="1"/>
    <x v="30"/>
    <x v="1"/>
    <n v="4"/>
    <n v="25"/>
    <n v="10"/>
    <n v="100"/>
    <x v="1"/>
    <n v="6"/>
    <x v="11"/>
    <n v="22"/>
    <x v="2"/>
    <x v="3"/>
    <n v="90"/>
    <n v="0.9"/>
    <n v="0"/>
  </r>
  <r>
    <n v="1450"/>
    <d v="2023-07-16T00:00:00"/>
    <d v="1899-12-30T08:52:00"/>
    <n v="1"/>
    <x v="1"/>
    <x v="26"/>
    <x v="1"/>
    <n v="2"/>
    <n v="25"/>
    <n v="10.25"/>
    <n v="50"/>
    <x v="1"/>
    <n v="7"/>
    <x v="1"/>
    <n v="16"/>
    <x v="5"/>
    <x v="1"/>
    <n v="39.75"/>
    <n v="0.79500000000000004"/>
    <n v="0"/>
  </r>
  <r>
    <n v="1562"/>
    <d v="2023-11-26T00:00:00"/>
    <d v="1899-12-30T10:21:00"/>
    <n v="5"/>
    <x v="0"/>
    <x v="29"/>
    <x v="2"/>
    <n v="2"/>
    <n v="25"/>
    <n v="12.75"/>
    <n v="50"/>
    <x v="1"/>
    <n v="11"/>
    <x v="0"/>
    <n v="26"/>
    <x v="5"/>
    <x v="0"/>
    <n v="37.25"/>
    <n v="0.745"/>
    <n v="0"/>
  </r>
  <r>
    <n v="108"/>
    <d v="2023-01-24T00:00:00"/>
    <d v="1899-12-30T09:38:00"/>
    <n v="5"/>
    <x v="1"/>
    <x v="17"/>
    <x v="1"/>
    <n v="3"/>
    <n v="25"/>
    <n v="13.5"/>
    <n v="75"/>
    <x v="1"/>
    <n v="1"/>
    <x v="3"/>
    <n v="24"/>
    <x v="6"/>
    <x v="2"/>
    <n v="61.5"/>
    <n v="0.82"/>
    <n v="0"/>
  </r>
  <r>
    <n v="111"/>
    <d v="2023-04-15T00:00:00"/>
    <d v="1899-12-30T09:45:00"/>
    <n v="5"/>
    <x v="1"/>
    <x v="23"/>
    <x v="2"/>
    <n v="3"/>
    <n v="500"/>
    <n v="130"/>
    <n v="1500"/>
    <x v="1"/>
    <n v="4"/>
    <x v="6"/>
    <n v="15"/>
    <x v="0"/>
    <x v="3"/>
    <n v="1370"/>
    <n v="0.91333333299999997"/>
    <n v="1"/>
  </r>
  <r>
    <n v="207"/>
    <d v="2023-08-06T00:00:00"/>
    <d v="1899-12-30T08:34:00"/>
    <n v="3"/>
    <x v="1"/>
    <x v="25"/>
    <x v="1"/>
    <n v="2"/>
    <n v="25"/>
    <n v="10.25"/>
    <n v="50"/>
    <x v="1"/>
    <n v="8"/>
    <x v="4"/>
    <n v="6"/>
    <x v="5"/>
    <x v="1"/>
    <n v="39.75"/>
    <n v="0.79500000000000004"/>
    <n v="0"/>
  </r>
  <r>
    <n v="724"/>
    <d v="2023-06-14T00:00:00"/>
    <d v="1899-12-30T06:56:00"/>
    <n v="3"/>
    <x v="0"/>
    <x v="45"/>
    <x v="0"/>
    <n v="3"/>
    <n v="50"/>
    <n v="20"/>
    <n v="150"/>
    <x v="1"/>
    <n v="6"/>
    <x v="11"/>
    <n v="14"/>
    <x v="4"/>
    <x v="3"/>
    <n v="130"/>
    <n v="0.86666666699999995"/>
    <n v="1"/>
  </r>
  <r>
    <n v="836"/>
    <d v="2023-06-21T00:00:00"/>
    <d v="1899-12-30T06:32:00"/>
    <n v="2"/>
    <x v="1"/>
    <x v="30"/>
    <x v="0"/>
    <n v="1"/>
    <n v="50"/>
    <n v="27.5"/>
    <n v="50"/>
    <x v="1"/>
    <n v="6"/>
    <x v="11"/>
    <n v="21"/>
    <x v="4"/>
    <x v="3"/>
    <n v="22.5"/>
    <n v="0.45"/>
    <n v="0"/>
  </r>
  <r>
    <n v="969"/>
    <d v="2023-11-27T00:00:00"/>
    <d v="1899-12-30T11:47:00"/>
    <n v="2"/>
    <x v="1"/>
    <x v="2"/>
    <x v="0"/>
    <n v="3"/>
    <n v="300"/>
    <n v="84"/>
    <n v="900"/>
    <x v="1"/>
    <n v="11"/>
    <x v="0"/>
    <n v="27"/>
    <x v="1"/>
    <x v="0"/>
    <n v="816"/>
    <n v="0.90666666699999998"/>
    <n v="1"/>
  </r>
  <r>
    <n v="1108"/>
    <d v="2023-07-08T00:00:00"/>
    <d v="1899-12-30T10:27:00"/>
    <n v="1"/>
    <x v="1"/>
    <x v="17"/>
    <x v="1"/>
    <n v="3"/>
    <n v="25"/>
    <n v="10"/>
    <n v="75"/>
    <x v="1"/>
    <n v="7"/>
    <x v="1"/>
    <n v="8"/>
    <x v="0"/>
    <x v="1"/>
    <n v="65"/>
    <n v="0.86666666699999995"/>
    <n v="0"/>
  </r>
  <r>
    <n v="1111"/>
    <d v="2023-04-30T00:00:00"/>
    <d v="1899-12-30T21:34:00"/>
    <n v="2"/>
    <x v="1"/>
    <x v="23"/>
    <x v="2"/>
    <n v="3"/>
    <n v="500"/>
    <n v="185"/>
    <n v="1500"/>
    <x v="1"/>
    <n v="4"/>
    <x v="6"/>
    <n v="30"/>
    <x v="5"/>
    <x v="3"/>
    <n v="1315"/>
    <n v="0.87666666699999996"/>
    <n v="1"/>
  </r>
  <r>
    <n v="1207"/>
    <d v="2023-06-30T00:00:00"/>
    <d v="1899-12-30T21:48:00"/>
    <n v="3"/>
    <x v="1"/>
    <x v="25"/>
    <x v="1"/>
    <n v="2"/>
    <n v="25"/>
    <n v="10"/>
    <n v="50"/>
    <x v="1"/>
    <n v="6"/>
    <x v="11"/>
    <n v="30"/>
    <x v="3"/>
    <x v="3"/>
    <n v="40"/>
    <n v="0.8"/>
    <n v="0"/>
  </r>
  <r>
    <n v="1724"/>
    <d v="2023-09-15T00:00:00"/>
    <d v="1899-12-30T20:53:00"/>
    <n v="4"/>
    <x v="0"/>
    <x v="45"/>
    <x v="0"/>
    <n v="3"/>
    <n v="50"/>
    <n v="17"/>
    <n v="150"/>
    <x v="1"/>
    <n v="9"/>
    <x v="9"/>
    <n v="15"/>
    <x v="3"/>
    <x v="1"/>
    <n v="133"/>
    <n v="0.88666666699999996"/>
    <n v="1"/>
  </r>
  <r>
    <n v="1836"/>
    <d v="2023-02-13T00:00:00"/>
    <d v="1899-12-30T17:19:00"/>
    <n v="3"/>
    <x v="1"/>
    <x v="30"/>
    <x v="0"/>
    <n v="1"/>
    <n v="50"/>
    <n v="23.5"/>
    <n v="50"/>
    <x v="1"/>
    <n v="2"/>
    <x v="10"/>
    <n v="13"/>
    <x v="1"/>
    <x v="2"/>
    <n v="26.5"/>
    <n v="0.53"/>
    <n v="0"/>
  </r>
  <r>
    <n v="1969"/>
    <d v="2023-03-05T00:00:00"/>
    <d v="1899-12-30T19:34:00"/>
    <n v="4"/>
    <x v="1"/>
    <x v="2"/>
    <x v="0"/>
    <n v="3"/>
    <n v="300"/>
    <n v="126"/>
    <n v="900"/>
    <x v="1"/>
    <n v="3"/>
    <x v="8"/>
    <n v="5"/>
    <x v="5"/>
    <x v="2"/>
    <n v="774"/>
    <n v="0.86"/>
    <n v="1"/>
  </r>
  <r>
    <n v="246"/>
    <d v="2023-12-07T00:00:00"/>
    <d v="1899-12-30T20:05:00"/>
    <n v="4"/>
    <x v="1"/>
    <x v="42"/>
    <x v="2"/>
    <n v="2"/>
    <n v="25"/>
    <n v="13.25"/>
    <n v="50"/>
    <x v="1"/>
    <n v="12"/>
    <x v="2"/>
    <n v="7"/>
    <x v="2"/>
    <x v="0"/>
    <n v="36.75"/>
    <n v="0.73499999999999999"/>
    <n v="0"/>
  </r>
  <r>
    <n v="298"/>
    <d v="2023-10-05T00:00:00"/>
    <d v="1899-12-30T19:05:00"/>
    <n v="3"/>
    <x v="0"/>
    <x v="17"/>
    <x v="1"/>
    <n v="4"/>
    <n v="300"/>
    <n v="84"/>
    <n v="1200"/>
    <x v="1"/>
    <n v="10"/>
    <x v="5"/>
    <n v="5"/>
    <x v="2"/>
    <x v="0"/>
    <n v="1116"/>
    <n v="0.93"/>
    <n v="1"/>
  </r>
  <r>
    <n v="374"/>
    <d v="2023-10-27T00:00:00"/>
    <d v="1899-12-30T17:45:00"/>
    <n v="4"/>
    <x v="1"/>
    <x v="26"/>
    <x v="1"/>
    <n v="3"/>
    <n v="25"/>
    <n v="7.75"/>
    <n v="75"/>
    <x v="1"/>
    <n v="10"/>
    <x v="5"/>
    <n v="27"/>
    <x v="3"/>
    <x v="0"/>
    <n v="67.25"/>
    <n v="0.89666666699999997"/>
    <n v="0"/>
  </r>
  <r>
    <n v="572"/>
    <d v="2023-12-13T00:00:00"/>
    <d v="1899-12-30T18:33:00"/>
    <n v="5"/>
    <x v="0"/>
    <x v="16"/>
    <x v="0"/>
    <n v="4"/>
    <n v="500"/>
    <n v="185"/>
    <n v="2000"/>
    <x v="1"/>
    <n v="12"/>
    <x v="2"/>
    <n v="13"/>
    <x v="4"/>
    <x v="0"/>
    <n v="1815"/>
    <n v="0.90749999999999997"/>
    <n v="1"/>
  </r>
  <r>
    <n v="665"/>
    <d v="2023-10-03T00:00:00"/>
    <d v="1899-12-30T22:49:00"/>
    <n v="1"/>
    <x v="0"/>
    <x v="10"/>
    <x v="0"/>
    <n v="1"/>
    <n v="50"/>
    <n v="19"/>
    <n v="50"/>
    <x v="1"/>
    <n v="10"/>
    <x v="5"/>
    <n v="3"/>
    <x v="6"/>
    <x v="0"/>
    <n v="31"/>
    <n v="0.62"/>
    <n v="0"/>
  </r>
  <r>
    <n v="1246"/>
    <d v="2023-04-26T00:00:00"/>
    <d v="1899-12-30T22:54:00"/>
    <n v="3"/>
    <x v="1"/>
    <x v="42"/>
    <x v="2"/>
    <n v="2"/>
    <n v="25"/>
    <n v="11.5"/>
    <n v="50"/>
    <x v="1"/>
    <n v="4"/>
    <x v="6"/>
    <n v="26"/>
    <x v="4"/>
    <x v="3"/>
    <n v="38.5"/>
    <n v="0.77"/>
    <n v="0"/>
  </r>
  <r>
    <n v="1298"/>
    <d v="2023-05-02T00:00:00"/>
    <d v="1899-12-30T19:51:00"/>
    <n v="1"/>
    <x v="0"/>
    <x v="17"/>
    <x v="1"/>
    <n v="4"/>
    <n v="300"/>
    <n v="120"/>
    <n v="1200"/>
    <x v="1"/>
    <n v="5"/>
    <x v="7"/>
    <n v="2"/>
    <x v="6"/>
    <x v="3"/>
    <n v="1080"/>
    <n v="0.9"/>
    <n v="1"/>
  </r>
  <r>
    <n v="1374"/>
    <d v="2023-03-23T00:00:00"/>
    <d v="1899-12-30T22:03:00"/>
    <n v="3"/>
    <x v="1"/>
    <x v="26"/>
    <x v="1"/>
    <n v="3"/>
    <n v="25"/>
    <n v="8.25"/>
    <n v="75"/>
    <x v="1"/>
    <n v="3"/>
    <x v="8"/>
    <n v="23"/>
    <x v="2"/>
    <x v="2"/>
    <n v="66.75"/>
    <n v="0.89"/>
    <n v="0"/>
  </r>
  <r>
    <n v="1572"/>
    <d v="2023-06-18T00:00:00"/>
    <d v="1899-12-30T22:20:00"/>
    <n v="1"/>
    <x v="0"/>
    <x v="16"/>
    <x v="0"/>
    <n v="4"/>
    <n v="500"/>
    <n v="175"/>
    <n v="2000"/>
    <x v="1"/>
    <n v="6"/>
    <x v="11"/>
    <n v="18"/>
    <x v="5"/>
    <x v="3"/>
    <n v="1825"/>
    <n v="0.91249999999999998"/>
    <n v="1"/>
  </r>
  <r>
    <n v="1665"/>
    <d v="2023-11-01T00:00:00"/>
    <d v="1899-12-30T19:38:00"/>
    <n v="4"/>
    <x v="0"/>
    <x v="10"/>
    <x v="0"/>
    <n v="1"/>
    <n v="50"/>
    <n v="14"/>
    <n v="50"/>
    <x v="1"/>
    <n v="11"/>
    <x v="0"/>
    <n v="1"/>
    <x v="4"/>
    <x v="0"/>
    <n v="36"/>
    <n v="0.72"/>
    <n v="0"/>
  </r>
  <r>
    <n v="39"/>
    <d v="2023-07-11T00:00:00"/>
    <d v="1899-12-30T22:44:00"/>
    <n v="5"/>
    <x v="0"/>
    <x v="8"/>
    <x v="0"/>
    <n v="4"/>
    <n v="30"/>
    <n v="8.6999999999999993"/>
    <n v="120"/>
    <x v="1"/>
    <n v="7"/>
    <x v="1"/>
    <n v="11"/>
    <x v="6"/>
    <x v="1"/>
    <n v="111.3"/>
    <n v="0.92749999999999999"/>
    <n v="0"/>
  </r>
  <r>
    <n v="893"/>
    <d v="2023-04-29T00:00:00"/>
    <d v="1899-12-30T18:52:00"/>
    <n v="1"/>
    <x v="0"/>
    <x v="28"/>
    <x v="2"/>
    <n v="1"/>
    <n v="50"/>
    <n v="17"/>
    <n v="50"/>
    <x v="1"/>
    <n v="4"/>
    <x v="6"/>
    <n v="29"/>
    <x v="0"/>
    <x v="3"/>
    <n v="33"/>
    <n v="0.66"/>
    <n v="0"/>
  </r>
  <r>
    <n v="1039"/>
    <d v="2023-12-03T00:00:00"/>
    <d v="1899-12-30T20:01:00"/>
    <n v="1"/>
    <x v="0"/>
    <x v="8"/>
    <x v="0"/>
    <n v="4"/>
    <n v="30"/>
    <n v="13.8"/>
    <n v="120"/>
    <x v="1"/>
    <n v="12"/>
    <x v="2"/>
    <n v="3"/>
    <x v="5"/>
    <x v="0"/>
    <n v="106.2"/>
    <n v="0.88500000000000001"/>
    <n v="0"/>
  </r>
  <r>
    <n v="1893"/>
    <d v="2023-02-25T00:00:00"/>
    <d v="1899-12-30T17:04:00"/>
    <n v="3"/>
    <x v="0"/>
    <x v="28"/>
    <x v="2"/>
    <n v="1"/>
    <n v="50"/>
    <n v="22.5"/>
    <n v="50"/>
    <x v="1"/>
    <n v="2"/>
    <x v="10"/>
    <n v="25"/>
    <x v="0"/>
    <x v="2"/>
    <n v="27.5"/>
    <n v="0.55000000000000004"/>
    <n v="0"/>
  </r>
  <r>
    <n v="17"/>
    <d v="2023-02-25T00:00:00"/>
    <d v="1899-12-30T21:08:00"/>
    <n v="3"/>
    <x v="1"/>
    <x v="17"/>
    <x v="0"/>
    <n v="4"/>
    <n v="25"/>
    <n v="13"/>
    <n v="100"/>
    <x v="1"/>
    <n v="2"/>
    <x v="10"/>
    <n v="25"/>
    <x v="0"/>
    <x v="2"/>
    <n v="87"/>
    <n v="0.87"/>
    <n v="0"/>
  </r>
  <r>
    <n v="316"/>
    <d v="2023-02-01T00:00:00"/>
    <d v="1899-12-30T17:25:00"/>
    <n v="3"/>
    <x v="1"/>
    <x v="42"/>
    <x v="0"/>
    <n v="2"/>
    <n v="25"/>
    <n v="13.75"/>
    <n v="50"/>
    <x v="1"/>
    <n v="2"/>
    <x v="10"/>
    <n v="1"/>
    <x v="4"/>
    <x v="2"/>
    <n v="36.25"/>
    <n v="0.72499999999999998"/>
    <n v="0"/>
  </r>
  <r>
    <n v="755"/>
    <d v="2023-11-27T00:00:00"/>
    <d v="1899-12-30T20:07:00"/>
    <n v="1"/>
    <x v="1"/>
    <x v="43"/>
    <x v="0"/>
    <n v="3"/>
    <n v="25"/>
    <n v="6.75"/>
    <n v="75"/>
    <x v="1"/>
    <n v="11"/>
    <x v="0"/>
    <n v="27"/>
    <x v="1"/>
    <x v="0"/>
    <n v="68.25"/>
    <n v="0.91"/>
    <n v="0"/>
  </r>
  <r>
    <n v="1017"/>
    <d v="2023-09-05T00:00:00"/>
    <d v="1899-12-30T18:41:00"/>
    <n v="2"/>
    <x v="1"/>
    <x v="17"/>
    <x v="0"/>
    <n v="4"/>
    <n v="25"/>
    <n v="12"/>
    <n v="100"/>
    <x v="1"/>
    <n v="9"/>
    <x v="9"/>
    <n v="5"/>
    <x v="6"/>
    <x v="1"/>
    <n v="88"/>
    <n v="0.88"/>
    <n v="0"/>
  </r>
  <r>
    <n v="1316"/>
    <d v="2023-07-21T00:00:00"/>
    <d v="1899-12-30T17:11:00"/>
    <n v="1"/>
    <x v="1"/>
    <x v="42"/>
    <x v="0"/>
    <n v="2"/>
    <n v="25"/>
    <n v="11.75"/>
    <n v="50"/>
    <x v="1"/>
    <n v="7"/>
    <x v="1"/>
    <n v="21"/>
    <x v="3"/>
    <x v="1"/>
    <n v="38.25"/>
    <n v="0.76500000000000001"/>
    <n v="0"/>
  </r>
  <r>
    <n v="1755"/>
    <d v="2023-05-23T00:00:00"/>
    <d v="1899-12-30T21:47:00"/>
    <n v="2"/>
    <x v="1"/>
    <x v="43"/>
    <x v="0"/>
    <n v="3"/>
    <n v="25"/>
    <n v="8"/>
    <n v="75"/>
    <x v="1"/>
    <n v="5"/>
    <x v="7"/>
    <n v="23"/>
    <x v="6"/>
    <x v="3"/>
    <n v="67"/>
    <n v="0.89333333299999995"/>
    <n v="0"/>
  </r>
  <r>
    <n v="28"/>
    <d v="2023-12-11T00:00:00"/>
    <d v="1899-12-30T22:34:00"/>
    <n v="3"/>
    <x v="1"/>
    <x v="22"/>
    <x v="1"/>
    <n v="1"/>
    <n v="500"/>
    <n v="150"/>
    <n v="500"/>
    <x v="1"/>
    <n v="12"/>
    <x v="2"/>
    <n v="11"/>
    <x v="1"/>
    <x v="0"/>
    <n v="350"/>
    <n v="0.7"/>
    <n v="1"/>
  </r>
  <r>
    <n v="98"/>
    <d v="2023-04-09T00:00:00"/>
    <d v="1899-12-30T19:41:00"/>
    <n v="1"/>
    <x v="1"/>
    <x v="46"/>
    <x v="1"/>
    <n v="2"/>
    <n v="50"/>
    <n v="19.5"/>
    <n v="100"/>
    <x v="1"/>
    <n v="4"/>
    <x v="6"/>
    <n v="9"/>
    <x v="5"/>
    <x v="3"/>
    <n v="80.5"/>
    <n v="0.80500000000000005"/>
    <n v="0"/>
  </r>
  <r>
    <n v="129"/>
    <d v="2023-04-17T00:00:00"/>
    <d v="1899-12-30T17:42:00"/>
    <n v="1"/>
    <x v="1"/>
    <x v="40"/>
    <x v="1"/>
    <n v="2"/>
    <n v="300"/>
    <n v="75"/>
    <n v="600"/>
    <x v="1"/>
    <n v="4"/>
    <x v="6"/>
    <n v="17"/>
    <x v="1"/>
    <x v="3"/>
    <n v="525"/>
    <n v="0.875"/>
    <n v="1"/>
  </r>
  <r>
    <n v="230"/>
    <d v="2023-03-26T00:00:00"/>
    <d v="1899-12-30T17:44:00"/>
    <n v="5"/>
    <x v="0"/>
    <x v="29"/>
    <x v="1"/>
    <n v="1"/>
    <n v="25"/>
    <n v="12.5"/>
    <n v="25"/>
    <x v="1"/>
    <n v="3"/>
    <x v="8"/>
    <n v="26"/>
    <x v="5"/>
    <x v="2"/>
    <n v="12.5"/>
    <n v="0.5"/>
    <n v="0"/>
  </r>
  <r>
    <n v="613"/>
    <d v="2023-05-08T00:00:00"/>
    <d v="1899-12-30T17:23:00"/>
    <n v="2"/>
    <x v="1"/>
    <x v="41"/>
    <x v="0"/>
    <n v="3"/>
    <n v="30"/>
    <n v="11.4"/>
    <n v="90"/>
    <x v="1"/>
    <n v="5"/>
    <x v="7"/>
    <n v="8"/>
    <x v="1"/>
    <x v="3"/>
    <n v="78.599999999999994"/>
    <n v="0.87333333300000004"/>
    <n v="0"/>
  </r>
  <r>
    <n v="691"/>
    <d v="2023-05-12T00:00:00"/>
    <d v="1899-12-30T21:09:00"/>
    <n v="5"/>
    <x v="1"/>
    <x v="12"/>
    <x v="0"/>
    <n v="3"/>
    <n v="30"/>
    <n v="14.7"/>
    <n v="90"/>
    <x v="1"/>
    <n v="5"/>
    <x v="7"/>
    <n v="12"/>
    <x v="3"/>
    <x v="3"/>
    <n v="75.3"/>
    <n v="0.83666666700000003"/>
    <n v="0"/>
  </r>
  <r>
    <n v="693"/>
    <d v="2023-06-08T00:00:00"/>
    <d v="1899-12-30T17:12:00"/>
    <n v="1"/>
    <x v="0"/>
    <x v="0"/>
    <x v="1"/>
    <n v="3"/>
    <n v="500"/>
    <n v="270"/>
    <n v="1500"/>
    <x v="1"/>
    <n v="6"/>
    <x v="11"/>
    <n v="8"/>
    <x v="2"/>
    <x v="3"/>
    <n v="1230"/>
    <n v="0.82"/>
    <n v="1"/>
  </r>
  <r>
    <n v="1028"/>
    <d v="2023-03-09T00:00:00"/>
    <d v="1899-12-30T18:09:00"/>
    <n v="1"/>
    <x v="1"/>
    <x v="22"/>
    <x v="1"/>
    <n v="1"/>
    <n v="500"/>
    <n v="250"/>
    <n v="500"/>
    <x v="1"/>
    <n v="3"/>
    <x v="8"/>
    <n v="9"/>
    <x v="2"/>
    <x v="2"/>
    <n v="250"/>
    <n v="0.5"/>
    <n v="1"/>
  </r>
  <r>
    <n v="1098"/>
    <d v="2023-07-06T00:00:00"/>
    <d v="1899-12-30T22:34:00"/>
    <n v="3"/>
    <x v="1"/>
    <x v="46"/>
    <x v="1"/>
    <n v="2"/>
    <n v="50"/>
    <n v="19.5"/>
    <n v="100"/>
    <x v="1"/>
    <n v="7"/>
    <x v="1"/>
    <n v="6"/>
    <x v="2"/>
    <x v="1"/>
    <n v="80.5"/>
    <n v="0.80500000000000005"/>
    <n v="0"/>
  </r>
  <r>
    <n v="1129"/>
    <d v="2023-09-08T00:00:00"/>
    <d v="1899-12-30T21:46:00"/>
    <n v="1"/>
    <x v="1"/>
    <x v="40"/>
    <x v="1"/>
    <n v="2"/>
    <n v="300"/>
    <n v="156"/>
    <n v="600"/>
    <x v="1"/>
    <n v="9"/>
    <x v="9"/>
    <n v="8"/>
    <x v="3"/>
    <x v="1"/>
    <n v="444"/>
    <n v="0.74"/>
    <n v="1"/>
  </r>
  <r>
    <n v="1230"/>
    <d v="2023-12-04T00:00:00"/>
    <d v="1899-12-30T21:24:00"/>
    <n v="1"/>
    <x v="0"/>
    <x v="29"/>
    <x v="1"/>
    <n v="1"/>
    <n v="25"/>
    <n v="13.25"/>
    <n v="25"/>
    <x v="1"/>
    <n v="12"/>
    <x v="2"/>
    <n v="4"/>
    <x v="1"/>
    <x v="0"/>
    <n v="11.75"/>
    <n v="0.47"/>
    <n v="0"/>
  </r>
  <r>
    <n v="1613"/>
    <d v="2023-12-14T00:00:00"/>
    <d v="1899-12-30T21:58:00"/>
    <n v="4"/>
    <x v="1"/>
    <x v="41"/>
    <x v="0"/>
    <n v="3"/>
    <n v="30"/>
    <n v="9.9"/>
    <n v="90"/>
    <x v="1"/>
    <n v="12"/>
    <x v="2"/>
    <n v="14"/>
    <x v="2"/>
    <x v="0"/>
    <n v="80.099999999999994"/>
    <n v="0.89"/>
    <n v="0"/>
  </r>
  <r>
    <n v="1691"/>
    <d v="2023-01-07T00:00:00"/>
    <d v="1899-12-30T20:01:00"/>
    <n v="1"/>
    <x v="1"/>
    <x v="12"/>
    <x v="0"/>
    <n v="3"/>
    <n v="30"/>
    <n v="13.5"/>
    <n v="90"/>
    <x v="1"/>
    <n v="1"/>
    <x v="3"/>
    <n v="7"/>
    <x v="0"/>
    <x v="2"/>
    <n v="76.5"/>
    <n v="0.85"/>
    <n v="0"/>
  </r>
  <r>
    <n v="1693"/>
    <d v="2023-02-20T00:00:00"/>
    <d v="1899-12-30T18:21:00"/>
    <n v="1"/>
    <x v="0"/>
    <x v="0"/>
    <x v="1"/>
    <n v="3"/>
    <n v="500"/>
    <n v="130"/>
    <n v="1500"/>
    <x v="1"/>
    <n v="2"/>
    <x v="10"/>
    <n v="20"/>
    <x v="1"/>
    <x v="2"/>
    <n v="1370"/>
    <n v="0.91333333299999997"/>
    <n v="1"/>
  </r>
  <r>
    <n v="477"/>
    <d v="2023-12-03T00:00:00"/>
    <d v="1899-12-30T17:24:00"/>
    <n v="3"/>
    <x v="0"/>
    <x v="22"/>
    <x v="0"/>
    <n v="4"/>
    <n v="30"/>
    <n v="16.2"/>
    <n v="120"/>
    <x v="1"/>
    <n v="12"/>
    <x v="2"/>
    <n v="3"/>
    <x v="5"/>
    <x v="0"/>
    <n v="103.8"/>
    <n v="0.86499999999999999"/>
    <n v="0"/>
  </r>
  <r>
    <n v="863"/>
    <d v="2023-11-12T00:00:00"/>
    <d v="1899-12-30T22:40:00"/>
    <n v="4"/>
    <x v="1"/>
    <x v="7"/>
    <x v="2"/>
    <n v="2"/>
    <n v="25"/>
    <n v="11.25"/>
    <n v="50"/>
    <x v="1"/>
    <n v="11"/>
    <x v="0"/>
    <n v="12"/>
    <x v="5"/>
    <x v="0"/>
    <n v="38.75"/>
    <n v="0.77500000000000002"/>
    <n v="0"/>
  </r>
  <r>
    <n v="1477"/>
    <d v="2023-01-08T00:00:00"/>
    <d v="1899-12-30T21:59:00"/>
    <n v="3"/>
    <x v="0"/>
    <x v="22"/>
    <x v="0"/>
    <n v="4"/>
    <n v="30"/>
    <n v="15.6"/>
    <n v="120"/>
    <x v="1"/>
    <n v="1"/>
    <x v="3"/>
    <n v="8"/>
    <x v="5"/>
    <x v="2"/>
    <n v="104.4"/>
    <n v="0.87"/>
    <n v="0"/>
  </r>
  <r>
    <n v="1863"/>
    <d v="2023-05-26T00:00:00"/>
    <d v="1899-12-30T22:33:00"/>
    <n v="4"/>
    <x v="1"/>
    <x v="7"/>
    <x v="2"/>
    <n v="2"/>
    <n v="25"/>
    <n v="10"/>
    <n v="50"/>
    <x v="1"/>
    <n v="5"/>
    <x v="7"/>
    <n v="26"/>
    <x v="3"/>
    <x v="3"/>
    <n v="40"/>
    <n v="0.8"/>
    <n v="0"/>
  </r>
  <r>
    <n v="6"/>
    <d v="2023-11-15T00:00:00"/>
    <d v="1899-12-30T22:16:00"/>
    <n v="2"/>
    <x v="1"/>
    <x v="14"/>
    <x v="1"/>
    <n v="1"/>
    <n v="30"/>
    <n v="15"/>
    <n v="30"/>
    <x v="1"/>
    <n v="11"/>
    <x v="0"/>
    <n v="15"/>
    <x v="4"/>
    <x v="0"/>
    <n v="15"/>
    <n v="0.5"/>
    <n v="0"/>
  </r>
  <r>
    <n v="483"/>
    <d v="2023-02-06T00:00:00"/>
    <d v="1899-12-30T17:25:00"/>
    <n v="2"/>
    <x v="0"/>
    <x v="46"/>
    <x v="0"/>
    <n v="1"/>
    <n v="30"/>
    <n v="8.4"/>
    <n v="30"/>
    <x v="1"/>
    <n v="2"/>
    <x v="10"/>
    <n v="6"/>
    <x v="1"/>
    <x v="2"/>
    <n v="21.6"/>
    <n v="0.72"/>
    <n v="0"/>
  </r>
  <r>
    <n v="738"/>
    <d v="2023-02-05T00:00:00"/>
    <d v="1899-12-30T18:24:00"/>
    <n v="5"/>
    <x v="0"/>
    <x v="0"/>
    <x v="0"/>
    <n v="2"/>
    <n v="50"/>
    <n v="26"/>
    <n v="100"/>
    <x v="1"/>
    <n v="2"/>
    <x v="10"/>
    <n v="5"/>
    <x v="5"/>
    <x v="2"/>
    <n v="74"/>
    <n v="0.74"/>
    <n v="0"/>
  </r>
  <r>
    <n v="1006"/>
    <d v="2023-10-29T00:00:00"/>
    <d v="1899-12-30T19:23:00"/>
    <n v="2"/>
    <x v="1"/>
    <x v="14"/>
    <x v="1"/>
    <n v="1"/>
    <n v="30"/>
    <n v="14.1"/>
    <n v="30"/>
    <x v="1"/>
    <n v="10"/>
    <x v="5"/>
    <n v="29"/>
    <x v="5"/>
    <x v="0"/>
    <n v="15.9"/>
    <n v="0.53"/>
    <n v="0"/>
  </r>
  <r>
    <n v="1483"/>
    <d v="2023-03-05T00:00:00"/>
    <d v="1899-12-30T19:53:00"/>
    <n v="1"/>
    <x v="0"/>
    <x v="46"/>
    <x v="0"/>
    <n v="1"/>
    <n v="30"/>
    <n v="8.6999999999999993"/>
    <n v="30"/>
    <x v="1"/>
    <n v="3"/>
    <x v="8"/>
    <n v="5"/>
    <x v="5"/>
    <x v="2"/>
    <n v="21.3"/>
    <n v="0.71"/>
    <n v="0"/>
  </r>
  <r>
    <n v="1738"/>
    <d v="2023-11-12T00:00:00"/>
    <d v="1899-12-30T21:33:00"/>
    <n v="1"/>
    <x v="0"/>
    <x v="0"/>
    <x v="0"/>
    <n v="2"/>
    <n v="50"/>
    <n v="16"/>
    <n v="100"/>
    <x v="1"/>
    <n v="11"/>
    <x v="0"/>
    <n v="12"/>
    <x v="5"/>
    <x v="0"/>
    <n v="84"/>
    <n v="0.84"/>
    <n v="0"/>
  </r>
  <r>
    <n v="222"/>
    <d v="2023-01-07T00:00:00"/>
    <d v="1899-12-30T18:56:00"/>
    <n v="4"/>
    <x v="0"/>
    <x v="12"/>
    <x v="0"/>
    <n v="4"/>
    <n v="30"/>
    <n v="10.5"/>
    <n v="120"/>
    <x v="1"/>
    <n v="1"/>
    <x v="3"/>
    <n v="7"/>
    <x v="0"/>
    <x v="2"/>
    <n v="109.5"/>
    <n v="0.91249999999999998"/>
    <n v="0"/>
  </r>
  <r>
    <n v="588"/>
    <d v="2023-10-18T00:00:00"/>
    <d v="1899-12-30T17:54:00"/>
    <n v="5"/>
    <x v="0"/>
    <x v="9"/>
    <x v="2"/>
    <n v="2"/>
    <n v="30"/>
    <n v="13.8"/>
    <n v="60"/>
    <x v="1"/>
    <n v="10"/>
    <x v="5"/>
    <n v="18"/>
    <x v="4"/>
    <x v="0"/>
    <n v="46.2"/>
    <n v="0.77"/>
    <n v="0"/>
  </r>
  <r>
    <n v="953"/>
    <d v="2023-07-02T00:00:00"/>
    <d v="1899-12-30T17:58:00"/>
    <n v="1"/>
    <x v="0"/>
    <x v="14"/>
    <x v="1"/>
    <n v="3"/>
    <n v="30"/>
    <n v="12.6"/>
    <n v="90"/>
    <x v="1"/>
    <n v="7"/>
    <x v="1"/>
    <n v="2"/>
    <x v="5"/>
    <x v="1"/>
    <n v="77.400000000000006"/>
    <n v="0.86"/>
    <n v="0"/>
  </r>
  <r>
    <n v="1222"/>
    <d v="2023-09-17T00:00:00"/>
    <d v="1899-12-30T18:15:00"/>
    <n v="3"/>
    <x v="0"/>
    <x v="12"/>
    <x v="0"/>
    <n v="4"/>
    <n v="30"/>
    <n v="11.1"/>
    <n v="120"/>
    <x v="1"/>
    <n v="9"/>
    <x v="9"/>
    <n v="17"/>
    <x v="5"/>
    <x v="1"/>
    <n v="108.9"/>
    <n v="0.90749999999999997"/>
    <n v="0"/>
  </r>
  <r>
    <n v="1588"/>
    <d v="2023-06-25T00:00:00"/>
    <d v="1899-12-30T21:29:00"/>
    <n v="4"/>
    <x v="0"/>
    <x v="9"/>
    <x v="2"/>
    <n v="2"/>
    <n v="30"/>
    <n v="13.2"/>
    <n v="60"/>
    <x v="1"/>
    <n v="6"/>
    <x v="11"/>
    <n v="25"/>
    <x v="5"/>
    <x v="3"/>
    <n v="46.8"/>
    <n v="0.78"/>
    <n v="0"/>
  </r>
  <r>
    <n v="1953"/>
    <d v="2023-05-15T00:00:00"/>
    <d v="1899-12-30T17:34:00"/>
    <n v="3"/>
    <x v="0"/>
    <x v="14"/>
    <x v="1"/>
    <n v="3"/>
    <n v="30"/>
    <n v="10.199999999999999"/>
    <n v="90"/>
    <x v="1"/>
    <n v="5"/>
    <x v="7"/>
    <n v="15"/>
    <x v="1"/>
    <x v="3"/>
    <n v="79.8"/>
    <n v="0.88666666699999996"/>
    <n v="0"/>
  </r>
  <r>
    <n v="66"/>
    <d v="2023-06-18T00:00:00"/>
    <d v="1899-12-30T22:49:00"/>
    <n v="3"/>
    <x v="1"/>
    <x v="14"/>
    <x v="2"/>
    <n v="1"/>
    <n v="30"/>
    <n v="9"/>
    <n v="30"/>
    <x v="1"/>
    <n v="6"/>
    <x v="11"/>
    <n v="18"/>
    <x v="5"/>
    <x v="3"/>
    <n v="21"/>
    <n v="0.7"/>
    <n v="0"/>
  </r>
  <r>
    <n v="482"/>
    <d v="2023-08-12T00:00:00"/>
    <d v="1899-12-30T18:57:00"/>
    <n v="3"/>
    <x v="1"/>
    <x v="32"/>
    <x v="0"/>
    <n v="4"/>
    <n v="300"/>
    <n v="141"/>
    <n v="1200"/>
    <x v="1"/>
    <n v="8"/>
    <x v="4"/>
    <n v="12"/>
    <x v="0"/>
    <x v="1"/>
    <n v="1059"/>
    <n v="0.88249999999999995"/>
    <n v="1"/>
  </r>
  <r>
    <n v="903"/>
    <d v="2023-07-27T00:00:00"/>
    <d v="1899-12-30T22:14:00"/>
    <n v="3"/>
    <x v="1"/>
    <x v="12"/>
    <x v="1"/>
    <n v="4"/>
    <n v="50"/>
    <n v="14"/>
    <n v="200"/>
    <x v="1"/>
    <n v="7"/>
    <x v="1"/>
    <n v="27"/>
    <x v="2"/>
    <x v="1"/>
    <n v="186"/>
    <n v="0.93"/>
    <n v="1"/>
  </r>
  <r>
    <n v="1066"/>
    <d v="2023-10-06T00:00:00"/>
    <d v="1899-12-30T18:11:00"/>
    <n v="4"/>
    <x v="1"/>
    <x v="14"/>
    <x v="2"/>
    <n v="1"/>
    <n v="30"/>
    <n v="8.4"/>
    <n v="30"/>
    <x v="1"/>
    <n v="10"/>
    <x v="5"/>
    <n v="6"/>
    <x v="3"/>
    <x v="0"/>
    <n v="21.6"/>
    <n v="0.72"/>
    <n v="0"/>
  </r>
  <r>
    <n v="1482"/>
    <d v="2023-02-10T00:00:00"/>
    <d v="1899-12-30T22:22:00"/>
    <n v="1"/>
    <x v="1"/>
    <x v="32"/>
    <x v="0"/>
    <n v="4"/>
    <n v="300"/>
    <n v="114"/>
    <n v="1200"/>
    <x v="1"/>
    <n v="2"/>
    <x v="10"/>
    <n v="10"/>
    <x v="3"/>
    <x v="2"/>
    <n v="1086"/>
    <n v="0.90500000000000003"/>
    <n v="1"/>
  </r>
  <r>
    <n v="1903"/>
    <d v="2023-07-27T00:00:00"/>
    <d v="1899-12-30T21:44:00"/>
    <n v="5"/>
    <x v="1"/>
    <x v="12"/>
    <x v="1"/>
    <n v="4"/>
    <n v="50"/>
    <n v="19"/>
    <n v="200"/>
    <x v="1"/>
    <n v="7"/>
    <x v="1"/>
    <n v="27"/>
    <x v="2"/>
    <x v="1"/>
    <n v="181"/>
    <n v="0.90500000000000003"/>
    <n v="1"/>
  </r>
  <r>
    <n v="102"/>
    <d v="2023-04-17T00:00:00"/>
    <d v="1899-12-30T21:34:00"/>
    <n v="5"/>
    <x v="1"/>
    <x v="35"/>
    <x v="1"/>
    <n v="2"/>
    <n v="25"/>
    <n v="7.25"/>
    <n v="50"/>
    <x v="1"/>
    <n v="4"/>
    <x v="6"/>
    <n v="17"/>
    <x v="1"/>
    <x v="3"/>
    <n v="42.75"/>
    <n v="0.85499999999999998"/>
    <n v="0"/>
  </r>
  <r>
    <n v="228"/>
    <d v="2023-04-03T00:00:00"/>
    <d v="1899-12-30T20:26:00"/>
    <n v="4"/>
    <x v="1"/>
    <x v="26"/>
    <x v="2"/>
    <n v="2"/>
    <n v="30"/>
    <n v="10.8"/>
    <n v="60"/>
    <x v="1"/>
    <n v="4"/>
    <x v="6"/>
    <n v="3"/>
    <x v="1"/>
    <x v="3"/>
    <n v="49.2"/>
    <n v="0.82"/>
    <n v="0"/>
  </r>
  <r>
    <n v="236"/>
    <d v="2023-04-01T00:00:00"/>
    <d v="1899-12-30T22:18:00"/>
    <n v="5"/>
    <x v="1"/>
    <x v="29"/>
    <x v="0"/>
    <n v="1"/>
    <n v="25"/>
    <n v="6.5"/>
    <n v="25"/>
    <x v="1"/>
    <n v="4"/>
    <x v="6"/>
    <n v="1"/>
    <x v="0"/>
    <x v="3"/>
    <n v="18.5"/>
    <n v="0.74"/>
    <n v="0"/>
  </r>
  <r>
    <n v="1102"/>
    <d v="2023-08-21T00:00:00"/>
    <d v="1899-12-30T18:04:00"/>
    <n v="5"/>
    <x v="1"/>
    <x v="35"/>
    <x v="1"/>
    <n v="2"/>
    <n v="25"/>
    <n v="6.5"/>
    <n v="50"/>
    <x v="1"/>
    <n v="8"/>
    <x v="4"/>
    <n v="21"/>
    <x v="1"/>
    <x v="1"/>
    <n v="43.5"/>
    <n v="0.87"/>
    <n v="0"/>
  </r>
  <r>
    <n v="1228"/>
    <d v="2023-06-24T00:00:00"/>
    <d v="1899-12-30T21:37:00"/>
    <n v="5"/>
    <x v="1"/>
    <x v="26"/>
    <x v="2"/>
    <n v="2"/>
    <n v="30"/>
    <n v="11.4"/>
    <n v="60"/>
    <x v="1"/>
    <n v="6"/>
    <x v="11"/>
    <n v="24"/>
    <x v="0"/>
    <x v="3"/>
    <n v="48.6"/>
    <n v="0.81"/>
    <n v="0"/>
  </r>
  <r>
    <n v="1236"/>
    <d v="2023-08-09T00:00:00"/>
    <d v="1899-12-30T18:19:00"/>
    <n v="4"/>
    <x v="1"/>
    <x v="29"/>
    <x v="0"/>
    <n v="1"/>
    <n v="25"/>
    <n v="8.75"/>
    <n v="25"/>
    <x v="1"/>
    <n v="8"/>
    <x v="4"/>
    <n v="9"/>
    <x v="4"/>
    <x v="1"/>
    <n v="16.25"/>
    <n v="0.65"/>
    <n v="0"/>
  </r>
  <r>
    <n v="660"/>
    <d v="2023-07-29T00:00:00"/>
    <d v="1899-12-30T18:46:00"/>
    <n v="2"/>
    <x v="1"/>
    <x v="9"/>
    <x v="1"/>
    <n v="2"/>
    <n v="500"/>
    <n v="270"/>
    <n v="1000"/>
    <x v="1"/>
    <n v="7"/>
    <x v="1"/>
    <n v="29"/>
    <x v="0"/>
    <x v="1"/>
    <n v="730"/>
    <n v="0.73"/>
    <n v="1"/>
  </r>
  <r>
    <n v="884"/>
    <d v="2023-02-18T00:00:00"/>
    <d v="1899-12-30T20:31:00"/>
    <n v="1"/>
    <x v="1"/>
    <x v="6"/>
    <x v="0"/>
    <n v="2"/>
    <n v="30"/>
    <n v="7.5"/>
    <n v="60"/>
    <x v="1"/>
    <n v="2"/>
    <x v="10"/>
    <n v="18"/>
    <x v="0"/>
    <x v="2"/>
    <n v="52.5"/>
    <n v="0.875"/>
    <n v="0"/>
  </r>
  <r>
    <n v="987"/>
    <d v="2023-11-08T00:00:00"/>
    <d v="1899-12-30T18:45:00"/>
    <n v="1"/>
    <x v="1"/>
    <x v="7"/>
    <x v="0"/>
    <n v="3"/>
    <n v="300"/>
    <n v="165"/>
    <n v="900"/>
    <x v="1"/>
    <n v="11"/>
    <x v="0"/>
    <n v="8"/>
    <x v="4"/>
    <x v="0"/>
    <n v="735"/>
    <n v="0.81666666700000001"/>
    <n v="1"/>
  </r>
  <r>
    <n v="1660"/>
    <d v="2023-09-23T00:00:00"/>
    <d v="1899-12-30T20:27:00"/>
    <n v="2"/>
    <x v="1"/>
    <x v="9"/>
    <x v="1"/>
    <n v="2"/>
    <n v="500"/>
    <n v="160"/>
    <n v="1000"/>
    <x v="1"/>
    <n v="9"/>
    <x v="9"/>
    <n v="23"/>
    <x v="0"/>
    <x v="1"/>
    <n v="840"/>
    <n v="0.84"/>
    <n v="1"/>
  </r>
  <r>
    <n v="1884"/>
    <d v="2023-07-09T00:00:00"/>
    <d v="1899-12-30T21:45:00"/>
    <n v="2"/>
    <x v="1"/>
    <x v="6"/>
    <x v="0"/>
    <n v="2"/>
    <n v="30"/>
    <n v="11.4"/>
    <n v="60"/>
    <x v="1"/>
    <n v="7"/>
    <x v="1"/>
    <n v="9"/>
    <x v="5"/>
    <x v="1"/>
    <n v="48.6"/>
    <n v="0.81"/>
    <n v="0"/>
  </r>
  <r>
    <n v="1987"/>
    <d v="2023-05-26T00:00:00"/>
    <d v="1899-12-30T18:18:00"/>
    <n v="2"/>
    <x v="1"/>
    <x v="7"/>
    <x v="0"/>
    <n v="3"/>
    <n v="300"/>
    <n v="129"/>
    <n v="900"/>
    <x v="1"/>
    <n v="5"/>
    <x v="7"/>
    <n v="26"/>
    <x v="3"/>
    <x v="3"/>
    <n v="771"/>
    <n v="0.85666666700000005"/>
    <n v="1"/>
  </r>
  <r>
    <n v="18"/>
    <d v="2023-09-06T00:00:00"/>
    <d v="1899-12-30T19:13:00"/>
    <n v="5"/>
    <x v="1"/>
    <x v="35"/>
    <x v="2"/>
    <n v="2"/>
    <n v="25"/>
    <n v="12.5"/>
    <n v="50"/>
    <x v="1"/>
    <n v="9"/>
    <x v="9"/>
    <n v="6"/>
    <x v="4"/>
    <x v="1"/>
    <n v="37.5"/>
    <n v="0.75"/>
    <n v="0"/>
  </r>
  <r>
    <n v="69"/>
    <d v="2023-11-14T00:00:00"/>
    <d v="1899-12-30T22:44:00"/>
    <n v="1"/>
    <x v="1"/>
    <x v="34"/>
    <x v="1"/>
    <n v="3"/>
    <n v="25"/>
    <n v="8.5"/>
    <n v="75"/>
    <x v="1"/>
    <n v="11"/>
    <x v="0"/>
    <n v="14"/>
    <x v="6"/>
    <x v="0"/>
    <n v="66.5"/>
    <n v="0.88666666699999996"/>
    <n v="0"/>
  </r>
  <r>
    <n v="995"/>
    <d v="2023-03-04T00:00:00"/>
    <d v="1899-12-30T22:38:00"/>
    <n v="4"/>
    <x v="1"/>
    <x v="0"/>
    <x v="0"/>
    <n v="1"/>
    <n v="30"/>
    <n v="9.9"/>
    <n v="30"/>
    <x v="1"/>
    <n v="3"/>
    <x v="8"/>
    <n v="4"/>
    <x v="0"/>
    <x v="2"/>
    <n v="20.100000000000001"/>
    <n v="0.67"/>
    <n v="0"/>
  </r>
  <r>
    <n v="1018"/>
    <d v="2023-07-06T00:00:00"/>
    <d v="1899-12-30T19:13:00"/>
    <n v="4"/>
    <x v="1"/>
    <x v="35"/>
    <x v="2"/>
    <n v="2"/>
    <n v="25"/>
    <n v="13"/>
    <n v="50"/>
    <x v="1"/>
    <n v="7"/>
    <x v="1"/>
    <n v="6"/>
    <x v="2"/>
    <x v="1"/>
    <n v="37"/>
    <n v="0.74"/>
    <n v="0"/>
  </r>
  <r>
    <n v="1069"/>
    <d v="2023-10-13T00:00:00"/>
    <d v="1899-12-30T19:05:00"/>
    <n v="2"/>
    <x v="1"/>
    <x v="34"/>
    <x v="1"/>
    <n v="3"/>
    <n v="25"/>
    <n v="6.75"/>
    <n v="75"/>
    <x v="1"/>
    <n v="10"/>
    <x v="5"/>
    <n v="13"/>
    <x v="3"/>
    <x v="0"/>
    <n v="68.25"/>
    <n v="0.91"/>
    <n v="0"/>
  </r>
  <r>
    <n v="1995"/>
    <d v="2023-12-10T00:00:00"/>
    <d v="1899-12-30T22:18:00"/>
    <n v="5"/>
    <x v="1"/>
    <x v="0"/>
    <x v="0"/>
    <n v="1"/>
    <n v="30"/>
    <n v="14.7"/>
    <n v="30"/>
    <x v="1"/>
    <n v="12"/>
    <x v="2"/>
    <n v="10"/>
    <x v="5"/>
    <x v="0"/>
    <n v="15.3"/>
    <n v="0.51"/>
    <n v="0"/>
  </r>
  <r>
    <n v="337"/>
    <d v="2023-08-22T00:00:00"/>
    <d v="1899-12-30T17:56:00"/>
    <n v="1"/>
    <x v="0"/>
    <x v="9"/>
    <x v="0"/>
    <n v="1"/>
    <n v="500"/>
    <n v="275"/>
    <n v="500"/>
    <x v="1"/>
    <n v="8"/>
    <x v="4"/>
    <n v="22"/>
    <x v="6"/>
    <x v="1"/>
    <n v="225"/>
    <n v="0.45"/>
    <n v="1"/>
  </r>
  <r>
    <n v="585"/>
    <d v="2023-06-06T00:00:00"/>
    <d v="1899-12-30T21:49:00"/>
    <n v="3"/>
    <x v="1"/>
    <x v="24"/>
    <x v="0"/>
    <n v="1"/>
    <n v="25"/>
    <n v="13.75"/>
    <n v="25"/>
    <x v="1"/>
    <n v="6"/>
    <x v="11"/>
    <n v="6"/>
    <x v="6"/>
    <x v="3"/>
    <n v="11.25"/>
    <n v="0.45"/>
    <n v="0"/>
  </r>
  <r>
    <n v="652"/>
    <d v="2023-10-31T00:00:00"/>
    <d v="1899-12-30T17:05:00"/>
    <n v="4"/>
    <x v="1"/>
    <x v="23"/>
    <x v="1"/>
    <n v="2"/>
    <n v="50"/>
    <n v="20.5"/>
    <n v="100"/>
    <x v="1"/>
    <n v="10"/>
    <x v="5"/>
    <n v="31"/>
    <x v="6"/>
    <x v="0"/>
    <n v="79.5"/>
    <n v="0.79500000000000004"/>
    <n v="0"/>
  </r>
  <r>
    <n v="1337"/>
    <d v="2023-07-21T00:00:00"/>
    <d v="1899-12-30T19:56:00"/>
    <n v="2"/>
    <x v="0"/>
    <x v="9"/>
    <x v="0"/>
    <n v="1"/>
    <n v="500"/>
    <n v="225"/>
    <n v="500"/>
    <x v="1"/>
    <n v="7"/>
    <x v="1"/>
    <n v="21"/>
    <x v="3"/>
    <x v="1"/>
    <n v="275"/>
    <n v="0.55000000000000004"/>
    <n v="1"/>
  </r>
  <r>
    <n v="1585"/>
    <d v="2023-10-05T00:00:00"/>
    <d v="1899-12-30T20:00:00"/>
    <n v="2"/>
    <x v="1"/>
    <x v="24"/>
    <x v="0"/>
    <n v="1"/>
    <n v="25"/>
    <n v="7.25"/>
    <n v="25"/>
    <x v="1"/>
    <n v="10"/>
    <x v="5"/>
    <n v="5"/>
    <x v="2"/>
    <x v="0"/>
    <n v="17.75"/>
    <n v="0.71"/>
    <n v="0"/>
  </r>
  <r>
    <n v="1652"/>
    <d v="2023-11-16T00:00:00"/>
    <d v="1899-12-30T20:00:00"/>
    <n v="2"/>
    <x v="1"/>
    <x v="23"/>
    <x v="1"/>
    <n v="2"/>
    <n v="50"/>
    <n v="20.5"/>
    <n v="100"/>
    <x v="1"/>
    <n v="11"/>
    <x v="0"/>
    <n v="16"/>
    <x v="2"/>
    <x v="0"/>
    <n v="79.5"/>
    <n v="0.79500000000000004"/>
    <n v="0"/>
  </r>
  <r>
    <n v="242"/>
    <d v="2023-10-01T00:00:00"/>
    <d v="1899-12-30T18:28:00"/>
    <n v="1"/>
    <x v="0"/>
    <x v="40"/>
    <x v="0"/>
    <n v="1"/>
    <n v="25"/>
    <n v="8"/>
    <n v="25"/>
    <x v="1"/>
    <n v="10"/>
    <x v="5"/>
    <n v="1"/>
    <x v="5"/>
    <x v="0"/>
    <n v="17"/>
    <n v="0.68"/>
    <n v="0"/>
  </r>
  <r>
    <n v="293"/>
    <d v="2023-05-27T00:00:00"/>
    <d v="1899-12-30T19:04:00"/>
    <n v="4"/>
    <x v="0"/>
    <x v="20"/>
    <x v="2"/>
    <n v="3"/>
    <n v="30"/>
    <n v="9.6"/>
    <n v="90"/>
    <x v="1"/>
    <n v="5"/>
    <x v="7"/>
    <n v="27"/>
    <x v="0"/>
    <x v="3"/>
    <n v="80.400000000000006"/>
    <n v="0.89333333299999995"/>
    <n v="0"/>
  </r>
  <r>
    <n v="460"/>
    <d v="2023-05-01T00:00:00"/>
    <d v="1899-12-30T23:00:00"/>
    <n v="2"/>
    <x v="0"/>
    <x v="2"/>
    <x v="1"/>
    <n v="1"/>
    <n v="50"/>
    <n v="19"/>
    <n v="50"/>
    <x v="1"/>
    <n v="5"/>
    <x v="7"/>
    <n v="1"/>
    <x v="1"/>
    <x v="3"/>
    <n v="31"/>
    <n v="0.62"/>
    <n v="0"/>
  </r>
  <r>
    <n v="1242"/>
    <d v="2023-11-27T00:00:00"/>
    <d v="1899-12-30T18:32:00"/>
    <n v="5"/>
    <x v="0"/>
    <x v="40"/>
    <x v="0"/>
    <n v="1"/>
    <n v="25"/>
    <n v="11.25"/>
    <n v="25"/>
    <x v="1"/>
    <n v="11"/>
    <x v="0"/>
    <n v="27"/>
    <x v="1"/>
    <x v="0"/>
    <n v="13.75"/>
    <n v="0.55000000000000004"/>
    <n v="0"/>
  </r>
  <r>
    <n v="1293"/>
    <d v="2023-07-01T00:00:00"/>
    <d v="1899-12-30T18:52:00"/>
    <n v="3"/>
    <x v="0"/>
    <x v="20"/>
    <x v="2"/>
    <n v="3"/>
    <n v="30"/>
    <n v="14.1"/>
    <n v="90"/>
    <x v="1"/>
    <n v="7"/>
    <x v="1"/>
    <n v="1"/>
    <x v="0"/>
    <x v="1"/>
    <n v="75.900000000000006"/>
    <n v="0.84333333300000002"/>
    <n v="0"/>
  </r>
  <r>
    <n v="1460"/>
    <d v="2023-01-25T00:00:00"/>
    <d v="1899-12-30T19:42:00"/>
    <n v="4"/>
    <x v="0"/>
    <x v="2"/>
    <x v="1"/>
    <n v="1"/>
    <n v="50"/>
    <n v="22"/>
    <n v="50"/>
    <x v="1"/>
    <n v="1"/>
    <x v="3"/>
    <n v="25"/>
    <x v="4"/>
    <x v="2"/>
    <n v="28"/>
    <n v="0.56000000000000005"/>
    <n v="0"/>
  </r>
  <r>
    <n v="188"/>
    <d v="2023-08-31T00:00:00"/>
    <d v="1899-12-30T18:50:00"/>
    <n v="3"/>
    <x v="0"/>
    <x v="2"/>
    <x v="0"/>
    <n v="3"/>
    <n v="25"/>
    <n v="8.5"/>
    <n v="75"/>
    <x v="1"/>
    <n v="8"/>
    <x v="4"/>
    <n v="31"/>
    <x v="2"/>
    <x v="1"/>
    <n v="66.5"/>
    <n v="0.88666666699999996"/>
    <n v="0"/>
  </r>
  <r>
    <n v="357"/>
    <d v="2023-05-18T00:00:00"/>
    <d v="1899-12-30T18:57:00"/>
    <n v="4"/>
    <x v="1"/>
    <x v="2"/>
    <x v="2"/>
    <n v="3"/>
    <n v="25"/>
    <n v="7.5"/>
    <n v="75"/>
    <x v="1"/>
    <n v="5"/>
    <x v="7"/>
    <n v="18"/>
    <x v="2"/>
    <x v="3"/>
    <n v="67.5"/>
    <n v="0.9"/>
    <n v="0"/>
  </r>
  <r>
    <n v="646"/>
    <d v="2023-05-26T00:00:00"/>
    <d v="1899-12-30T21:02:00"/>
    <n v="3"/>
    <x v="0"/>
    <x v="9"/>
    <x v="0"/>
    <n v="3"/>
    <n v="30"/>
    <n v="13.5"/>
    <n v="90"/>
    <x v="1"/>
    <n v="5"/>
    <x v="7"/>
    <n v="26"/>
    <x v="3"/>
    <x v="3"/>
    <n v="76.5"/>
    <n v="0.85"/>
    <n v="0"/>
  </r>
  <r>
    <n v="749"/>
    <d v="2023-07-26T00:00:00"/>
    <d v="1899-12-30T20:33:00"/>
    <n v="2"/>
    <x v="0"/>
    <x v="25"/>
    <x v="1"/>
    <n v="1"/>
    <n v="30"/>
    <n v="8.4"/>
    <n v="30"/>
    <x v="1"/>
    <n v="7"/>
    <x v="1"/>
    <n v="26"/>
    <x v="4"/>
    <x v="1"/>
    <n v="21.6"/>
    <n v="0.72"/>
    <n v="0"/>
  </r>
  <r>
    <n v="974"/>
    <d v="2023-12-28T00:00:00"/>
    <d v="1899-12-30T18:39:00"/>
    <n v="3"/>
    <x v="0"/>
    <x v="35"/>
    <x v="1"/>
    <n v="1"/>
    <n v="30"/>
    <n v="11.7"/>
    <n v="30"/>
    <x v="1"/>
    <n v="12"/>
    <x v="2"/>
    <n v="28"/>
    <x v="2"/>
    <x v="0"/>
    <n v="18.3"/>
    <n v="0.61"/>
    <n v="0"/>
  </r>
  <r>
    <n v="1188"/>
    <d v="2023-06-04T00:00:00"/>
    <d v="1899-12-30T22:43:00"/>
    <n v="2"/>
    <x v="0"/>
    <x v="2"/>
    <x v="0"/>
    <n v="3"/>
    <n v="25"/>
    <n v="10.75"/>
    <n v="75"/>
    <x v="1"/>
    <n v="6"/>
    <x v="11"/>
    <n v="4"/>
    <x v="5"/>
    <x v="3"/>
    <n v="64.25"/>
    <n v="0.85666666700000005"/>
    <n v="0"/>
  </r>
  <r>
    <n v="1357"/>
    <d v="2023-03-20T00:00:00"/>
    <d v="1899-12-30T19:14:00"/>
    <n v="3"/>
    <x v="1"/>
    <x v="2"/>
    <x v="2"/>
    <n v="3"/>
    <n v="25"/>
    <n v="11.5"/>
    <n v="75"/>
    <x v="1"/>
    <n v="3"/>
    <x v="8"/>
    <n v="20"/>
    <x v="1"/>
    <x v="2"/>
    <n v="63.5"/>
    <n v="0.84666666700000004"/>
    <n v="0"/>
  </r>
  <r>
    <n v="1646"/>
    <d v="2023-01-18T00:00:00"/>
    <d v="1899-12-30T19:43:00"/>
    <n v="1"/>
    <x v="0"/>
    <x v="9"/>
    <x v="0"/>
    <n v="3"/>
    <n v="30"/>
    <n v="15.6"/>
    <n v="90"/>
    <x v="1"/>
    <n v="1"/>
    <x v="3"/>
    <n v="18"/>
    <x v="4"/>
    <x v="2"/>
    <n v="74.400000000000006"/>
    <n v="0.82666666700000002"/>
    <n v="0"/>
  </r>
  <r>
    <n v="1749"/>
    <d v="2023-05-07T00:00:00"/>
    <d v="1899-12-30T19:55:00"/>
    <n v="2"/>
    <x v="0"/>
    <x v="25"/>
    <x v="1"/>
    <n v="1"/>
    <n v="30"/>
    <n v="9"/>
    <n v="30"/>
    <x v="1"/>
    <n v="5"/>
    <x v="7"/>
    <n v="7"/>
    <x v="5"/>
    <x v="3"/>
    <n v="21"/>
    <n v="0.7"/>
    <n v="0"/>
  </r>
  <r>
    <n v="1974"/>
    <d v="2023-02-19T00:00:00"/>
    <d v="1899-12-30T20:20:00"/>
    <n v="3"/>
    <x v="0"/>
    <x v="35"/>
    <x v="1"/>
    <n v="1"/>
    <n v="30"/>
    <n v="12.9"/>
    <n v="30"/>
    <x v="1"/>
    <n v="2"/>
    <x v="10"/>
    <n v="19"/>
    <x v="5"/>
    <x v="2"/>
    <n v="17.100000000000001"/>
    <n v="0.56999999999999995"/>
    <n v="0"/>
  </r>
  <r>
    <n v="190"/>
    <d v="2023-01-25T00:00:00"/>
    <d v="1899-12-30T17:56:00"/>
    <n v="2"/>
    <x v="1"/>
    <x v="13"/>
    <x v="1"/>
    <n v="3"/>
    <n v="30"/>
    <n v="10.5"/>
    <n v="90"/>
    <x v="1"/>
    <n v="1"/>
    <x v="3"/>
    <n v="25"/>
    <x v="4"/>
    <x v="2"/>
    <n v="79.5"/>
    <n v="0.88333333300000005"/>
    <n v="0"/>
  </r>
  <r>
    <n v="849"/>
    <d v="2023-06-25T00:00:00"/>
    <d v="1899-12-30T19:33:00"/>
    <n v="5"/>
    <x v="0"/>
    <x v="37"/>
    <x v="0"/>
    <n v="2"/>
    <n v="25"/>
    <n v="12.5"/>
    <n v="50"/>
    <x v="1"/>
    <n v="6"/>
    <x v="11"/>
    <n v="25"/>
    <x v="5"/>
    <x v="3"/>
    <n v="37.5"/>
    <n v="0.75"/>
    <n v="0"/>
  </r>
  <r>
    <n v="853"/>
    <d v="2023-05-14T00:00:00"/>
    <d v="1899-12-30T22:29:00"/>
    <n v="3"/>
    <x v="0"/>
    <x v="40"/>
    <x v="1"/>
    <n v="2"/>
    <n v="500"/>
    <n v="155"/>
    <n v="1000"/>
    <x v="1"/>
    <n v="5"/>
    <x v="7"/>
    <n v="14"/>
    <x v="5"/>
    <x v="3"/>
    <n v="845"/>
    <n v="0.84499999999999997"/>
    <n v="1"/>
  </r>
  <r>
    <n v="1190"/>
    <d v="2023-09-29T00:00:00"/>
    <d v="1899-12-30T21:00:00"/>
    <n v="4"/>
    <x v="1"/>
    <x v="13"/>
    <x v="1"/>
    <n v="3"/>
    <n v="30"/>
    <n v="10.8"/>
    <n v="90"/>
    <x v="1"/>
    <n v="9"/>
    <x v="9"/>
    <n v="29"/>
    <x v="3"/>
    <x v="1"/>
    <n v="79.2"/>
    <n v="0.88"/>
    <n v="0"/>
  </r>
  <r>
    <n v="1849"/>
    <d v="2023-07-21T00:00:00"/>
    <d v="1899-12-30T22:42:00"/>
    <n v="1"/>
    <x v="0"/>
    <x v="37"/>
    <x v="0"/>
    <n v="2"/>
    <n v="25"/>
    <n v="12"/>
    <n v="50"/>
    <x v="1"/>
    <n v="7"/>
    <x v="1"/>
    <n v="21"/>
    <x v="3"/>
    <x v="1"/>
    <n v="38"/>
    <n v="0.76"/>
    <n v="0"/>
  </r>
  <r>
    <n v="1853"/>
    <d v="2023-05-29T00:00:00"/>
    <d v="1899-12-30T18:39:00"/>
    <n v="2"/>
    <x v="0"/>
    <x v="40"/>
    <x v="1"/>
    <n v="2"/>
    <n v="500"/>
    <n v="190"/>
    <n v="1000"/>
    <x v="1"/>
    <n v="5"/>
    <x v="7"/>
    <n v="29"/>
    <x v="1"/>
    <x v="3"/>
    <n v="810"/>
    <n v="0.81"/>
    <n v="1"/>
  </r>
  <r>
    <n v="252"/>
    <d v="2023-05-05T00:00:00"/>
    <d v="1899-12-30T17:37:00"/>
    <n v="1"/>
    <x v="0"/>
    <x v="29"/>
    <x v="2"/>
    <n v="1"/>
    <n v="300"/>
    <n v="84"/>
    <n v="300"/>
    <x v="1"/>
    <n v="5"/>
    <x v="7"/>
    <n v="5"/>
    <x v="3"/>
    <x v="3"/>
    <n v="216"/>
    <n v="0.72"/>
    <n v="1"/>
  </r>
  <r>
    <n v="606"/>
    <d v="2023-06-13T00:00:00"/>
    <d v="1899-12-30T20:19:00"/>
    <n v="2"/>
    <x v="0"/>
    <x v="30"/>
    <x v="2"/>
    <n v="1"/>
    <n v="50"/>
    <n v="19.5"/>
    <n v="50"/>
    <x v="1"/>
    <n v="6"/>
    <x v="11"/>
    <n v="13"/>
    <x v="6"/>
    <x v="3"/>
    <n v="30.5"/>
    <n v="0.61"/>
    <n v="0"/>
  </r>
  <r>
    <n v="779"/>
    <d v="2023-05-15T00:00:00"/>
    <d v="1899-12-30T19:19:00"/>
    <n v="3"/>
    <x v="1"/>
    <x v="34"/>
    <x v="2"/>
    <n v="2"/>
    <n v="500"/>
    <n v="155"/>
    <n v="1000"/>
    <x v="1"/>
    <n v="5"/>
    <x v="7"/>
    <n v="15"/>
    <x v="1"/>
    <x v="3"/>
    <n v="845"/>
    <n v="0.84499999999999997"/>
    <n v="1"/>
  </r>
  <r>
    <n v="824"/>
    <d v="2023-02-25T00:00:00"/>
    <d v="1899-12-30T19:10:00"/>
    <n v="3"/>
    <x v="0"/>
    <x v="15"/>
    <x v="0"/>
    <n v="4"/>
    <n v="30"/>
    <n v="9.3000000000000007"/>
    <n v="120"/>
    <x v="1"/>
    <n v="2"/>
    <x v="10"/>
    <n v="25"/>
    <x v="0"/>
    <x v="2"/>
    <n v="110.7"/>
    <n v="0.92249999999999999"/>
    <n v="0"/>
  </r>
  <r>
    <n v="866"/>
    <d v="2023-07-06T00:00:00"/>
    <d v="1899-12-30T18:16:00"/>
    <n v="4"/>
    <x v="0"/>
    <x v="24"/>
    <x v="2"/>
    <n v="1"/>
    <n v="50"/>
    <n v="22.5"/>
    <n v="50"/>
    <x v="1"/>
    <n v="7"/>
    <x v="1"/>
    <n v="6"/>
    <x v="2"/>
    <x v="1"/>
    <n v="27.5"/>
    <n v="0.55000000000000004"/>
    <n v="0"/>
  </r>
  <r>
    <n v="1252"/>
    <d v="2023-12-30T00:00:00"/>
    <d v="1899-12-30T20:18:00"/>
    <n v="5"/>
    <x v="0"/>
    <x v="29"/>
    <x v="2"/>
    <n v="1"/>
    <n v="300"/>
    <n v="117"/>
    <n v="300"/>
    <x v="1"/>
    <n v="12"/>
    <x v="2"/>
    <n v="30"/>
    <x v="0"/>
    <x v="0"/>
    <n v="183"/>
    <n v="0.61"/>
    <n v="1"/>
  </r>
  <r>
    <n v="1606"/>
    <d v="2023-10-19T00:00:00"/>
    <d v="1899-12-30T19:52:00"/>
    <n v="2"/>
    <x v="0"/>
    <x v="30"/>
    <x v="2"/>
    <n v="1"/>
    <n v="50"/>
    <n v="26.5"/>
    <n v="50"/>
    <x v="1"/>
    <n v="10"/>
    <x v="5"/>
    <n v="19"/>
    <x v="2"/>
    <x v="0"/>
    <n v="23.5"/>
    <n v="0.47"/>
    <n v="0"/>
  </r>
  <r>
    <n v="1779"/>
    <d v="2023-01-02T00:00:00"/>
    <d v="1899-12-30T19:45:00"/>
    <n v="3"/>
    <x v="1"/>
    <x v="34"/>
    <x v="2"/>
    <n v="2"/>
    <n v="500"/>
    <n v="190"/>
    <n v="1000"/>
    <x v="1"/>
    <n v="1"/>
    <x v="3"/>
    <n v="2"/>
    <x v="1"/>
    <x v="2"/>
    <n v="810"/>
    <n v="0.81"/>
    <n v="1"/>
  </r>
  <r>
    <n v="1824"/>
    <d v="2023-01-24T00:00:00"/>
    <d v="1899-12-30T20:19:00"/>
    <n v="4"/>
    <x v="0"/>
    <x v="15"/>
    <x v="0"/>
    <n v="4"/>
    <n v="30"/>
    <n v="12.6"/>
    <n v="120"/>
    <x v="1"/>
    <n v="1"/>
    <x v="3"/>
    <n v="24"/>
    <x v="6"/>
    <x v="2"/>
    <n v="107.4"/>
    <n v="0.89500000000000002"/>
    <n v="0"/>
  </r>
  <r>
    <n v="1866"/>
    <d v="2023-08-17T00:00:00"/>
    <d v="1899-12-30T22:38:00"/>
    <n v="5"/>
    <x v="0"/>
    <x v="24"/>
    <x v="2"/>
    <n v="1"/>
    <n v="50"/>
    <n v="20"/>
    <n v="50"/>
    <x v="1"/>
    <n v="8"/>
    <x v="4"/>
    <n v="17"/>
    <x v="2"/>
    <x v="1"/>
    <n v="30"/>
    <n v="0.6"/>
    <n v="0"/>
  </r>
  <r>
    <n v="5"/>
    <d v="2023-09-05T00:00:00"/>
    <d v="1899-12-30T22:10:00"/>
    <n v="3"/>
    <x v="0"/>
    <x v="7"/>
    <x v="1"/>
    <n v="2"/>
    <n v="50"/>
    <n v="24"/>
    <n v="100"/>
    <x v="1"/>
    <n v="9"/>
    <x v="9"/>
    <n v="5"/>
    <x v="6"/>
    <x v="1"/>
    <n v="76"/>
    <n v="0.76"/>
    <n v="0"/>
  </r>
  <r>
    <n v="90"/>
    <d v="2023-09-10T00:00:00"/>
    <d v="1899-12-30T17:53:00"/>
    <n v="3"/>
    <x v="1"/>
    <x v="12"/>
    <x v="2"/>
    <n v="1"/>
    <n v="30"/>
    <n v="13.5"/>
    <n v="30"/>
    <x v="1"/>
    <n v="9"/>
    <x v="9"/>
    <n v="10"/>
    <x v="5"/>
    <x v="1"/>
    <n v="16.5"/>
    <n v="0.55000000000000004"/>
    <n v="0"/>
  </r>
  <r>
    <n v="380"/>
    <d v="2023-08-30T00:00:00"/>
    <d v="1899-12-30T22:26:00"/>
    <n v="2"/>
    <x v="0"/>
    <x v="34"/>
    <x v="2"/>
    <n v="2"/>
    <n v="300"/>
    <n v="102"/>
    <n v="600"/>
    <x v="1"/>
    <n v="8"/>
    <x v="4"/>
    <n v="30"/>
    <x v="4"/>
    <x v="1"/>
    <n v="498"/>
    <n v="0.83"/>
    <n v="1"/>
  </r>
  <r>
    <n v="593"/>
    <d v="2023-01-18T00:00:00"/>
    <d v="1899-12-30T22:05:00"/>
    <n v="2"/>
    <x v="0"/>
    <x v="39"/>
    <x v="2"/>
    <n v="2"/>
    <n v="30"/>
    <n v="13.2"/>
    <n v="60"/>
    <x v="1"/>
    <n v="1"/>
    <x v="3"/>
    <n v="18"/>
    <x v="4"/>
    <x v="2"/>
    <n v="46.8"/>
    <n v="0.78"/>
    <n v="0"/>
  </r>
  <r>
    <n v="820"/>
    <d v="2023-02-17T00:00:00"/>
    <d v="1899-12-30T22:49:00"/>
    <n v="1"/>
    <x v="0"/>
    <x v="28"/>
    <x v="2"/>
    <n v="4"/>
    <n v="50"/>
    <n v="24"/>
    <n v="200"/>
    <x v="1"/>
    <n v="2"/>
    <x v="10"/>
    <n v="17"/>
    <x v="3"/>
    <x v="2"/>
    <n v="176"/>
    <n v="0.88"/>
    <n v="1"/>
  </r>
  <r>
    <n v="1005"/>
    <d v="2023-08-12T00:00:00"/>
    <d v="1899-12-30T20:38:00"/>
    <n v="2"/>
    <x v="0"/>
    <x v="7"/>
    <x v="1"/>
    <n v="2"/>
    <n v="50"/>
    <n v="17.5"/>
    <n v="100"/>
    <x v="1"/>
    <n v="8"/>
    <x v="4"/>
    <n v="12"/>
    <x v="0"/>
    <x v="1"/>
    <n v="82.5"/>
    <n v="0.82499999999999996"/>
    <n v="0"/>
  </r>
  <r>
    <n v="1090"/>
    <d v="2023-02-18T00:00:00"/>
    <d v="1899-12-30T19:54:00"/>
    <n v="4"/>
    <x v="1"/>
    <x v="12"/>
    <x v="2"/>
    <n v="1"/>
    <n v="30"/>
    <n v="7.5"/>
    <n v="30"/>
    <x v="1"/>
    <n v="2"/>
    <x v="10"/>
    <n v="18"/>
    <x v="0"/>
    <x v="2"/>
    <n v="22.5"/>
    <n v="0.75"/>
    <n v="0"/>
  </r>
  <r>
    <n v="1380"/>
    <d v="2023-02-09T00:00:00"/>
    <d v="1899-12-30T19:45:00"/>
    <n v="3"/>
    <x v="0"/>
    <x v="34"/>
    <x v="2"/>
    <n v="2"/>
    <n v="300"/>
    <n v="159"/>
    <n v="600"/>
    <x v="1"/>
    <n v="2"/>
    <x v="10"/>
    <n v="9"/>
    <x v="2"/>
    <x v="2"/>
    <n v="441"/>
    <n v="0.73499999999999999"/>
    <n v="1"/>
  </r>
  <r>
    <n v="1593"/>
    <d v="2023-02-24T00:00:00"/>
    <d v="1899-12-30T22:39:00"/>
    <n v="5"/>
    <x v="0"/>
    <x v="39"/>
    <x v="2"/>
    <n v="2"/>
    <n v="30"/>
    <n v="14.4"/>
    <n v="60"/>
    <x v="1"/>
    <n v="2"/>
    <x v="10"/>
    <n v="24"/>
    <x v="3"/>
    <x v="2"/>
    <n v="45.6"/>
    <n v="0.76"/>
    <n v="0"/>
  </r>
  <r>
    <n v="1820"/>
    <d v="2023-05-13T00:00:00"/>
    <d v="1899-12-30T21:31:00"/>
    <n v="1"/>
    <x v="0"/>
    <x v="28"/>
    <x v="2"/>
    <n v="4"/>
    <n v="50"/>
    <n v="22"/>
    <n v="200"/>
    <x v="1"/>
    <n v="5"/>
    <x v="7"/>
    <n v="13"/>
    <x v="0"/>
    <x v="3"/>
    <n v="178"/>
    <n v="0.89"/>
    <n v="1"/>
  </r>
  <r>
    <n v="120"/>
    <d v="2023-03-31T00:00:00"/>
    <d v="1899-12-30T19:35:00"/>
    <n v="4"/>
    <x v="0"/>
    <x v="13"/>
    <x v="1"/>
    <n v="1"/>
    <n v="50"/>
    <n v="12.5"/>
    <n v="50"/>
    <x v="1"/>
    <n v="3"/>
    <x v="8"/>
    <n v="31"/>
    <x v="3"/>
    <x v="2"/>
    <n v="37.5"/>
    <n v="0.75"/>
    <n v="0"/>
  </r>
  <r>
    <n v="221"/>
    <d v="2023-11-27T00:00:00"/>
    <d v="1899-12-30T21:01:00"/>
    <n v="3"/>
    <x v="0"/>
    <x v="27"/>
    <x v="1"/>
    <n v="2"/>
    <n v="300"/>
    <n v="111"/>
    <n v="600"/>
    <x v="1"/>
    <n v="11"/>
    <x v="0"/>
    <n v="27"/>
    <x v="1"/>
    <x v="0"/>
    <n v="489"/>
    <n v="0.81499999999999995"/>
    <n v="1"/>
  </r>
  <r>
    <n v="341"/>
    <d v="2023-01-20T00:00:00"/>
    <d v="1899-12-30T17:06:00"/>
    <n v="5"/>
    <x v="0"/>
    <x v="16"/>
    <x v="0"/>
    <n v="4"/>
    <n v="50"/>
    <n v="18.5"/>
    <n v="200"/>
    <x v="1"/>
    <n v="1"/>
    <x v="3"/>
    <n v="20"/>
    <x v="3"/>
    <x v="2"/>
    <n v="181.5"/>
    <n v="0.90749999999999997"/>
    <n v="1"/>
  </r>
  <r>
    <n v="640"/>
    <d v="2023-12-25T00:00:00"/>
    <d v="1899-12-30T20:05:00"/>
    <n v="3"/>
    <x v="1"/>
    <x v="12"/>
    <x v="2"/>
    <n v="4"/>
    <n v="30"/>
    <n v="12.6"/>
    <n v="120"/>
    <x v="1"/>
    <n v="12"/>
    <x v="2"/>
    <n v="25"/>
    <x v="1"/>
    <x v="0"/>
    <n v="107.4"/>
    <n v="0.89500000000000002"/>
    <n v="0"/>
  </r>
  <r>
    <n v="744"/>
    <d v="2023-05-23T00:00:00"/>
    <d v="1899-12-30T18:02:00"/>
    <n v="1"/>
    <x v="0"/>
    <x v="2"/>
    <x v="2"/>
    <n v="1"/>
    <n v="25"/>
    <n v="6.5"/>
    <n v="25"/>
    <x v="1"/>
    <n v="5"/>
    <x v="7"/>
    <n v="23"/>
    <x v="6"/>
    <x v="3"/>
    <n v="18.5"/>
    <n v="0.74"/>
    <n v="0"/>
  </r>
  <r>
    <n v="1120"/>
    <d v="2023-03-02T00:00:00"/>
    <d v="1899-12-30T19:32:00"/>
    <n v="4"/>
    <x v="0"/>
    <x v="13"/>
    <x v="1"/>
    <n v="1"/>
    <n v="50"/>
    <n v="26.5"/>
    <n v="50"/>
    <x v="1"/>
    <n v="3"/>
    <x v="8"/>
    <n v="2"/>
    <x v="2"/>
    <x v="2"/>
    <n v="23.5"/>
    <n v="0.47"/>
    <n v="0"/>
  </r>
  <r>
    <n v="1221"/>
    <d v="2023-09-14T00:00:00"/>
    <d v="1899-12-30T22:57:00"/>
    <n v="5"/>
    <x v="0"/>
    <x v="27"/>
    <x v="1"/>
    <n v="2"/>
    <n v="300"/>
    <n v="114"/>
    <n v="600"/>
    <x v="1"/>
    <n v="9"/>
    <x v="9"/>
    <n v="14"/>
    <x v="2"/>
    <x v="1"/>
    <n v="486"/>
    <n v="0.81"/>
    <n v="1"/>
  </r>
  <r>
    <n v="1341"/>
    <d v="2023-01-30T00:00:00"/>
    <d v="1899-12-30T22:10:00"/>
    <n v="1"/>
    <x v="0"/>
    <x v="16"/>
    <x v="0"/>
    <n v="4"/>
    <n v="50"/>
    <n v="21"/>
    <n v="200"/>
    <x v="1"/>
    <n v="1"/>
    <x v="3"/>
    <n v="30"/>
    <x v="1"/>
    <x v="2"/>
    <n v="179"/>
    <n v="0.89500000000000002"/>
    <n v="1"/>
  </r>
  <r>
    <n v="1640"/>
    <d v="2023-06-10T00:00:00"/>
    <d v="1899-12-30T19:44:00"/>
    <n v="5"/>
    <x v="1"/>
    <x v="12"/>
    <x v="2"/>
    <n v="4"/>
    <n v="30"/>
    <n v="14.1"/>
    <n v="120"/>
    <x v="1"/>
    <n v="6"/>
    <x v="11"/>
    <n v="10"/>
    <x v="0"/>
    <x v="3"/>
    <n v="105.9"/>
    <n v="0.88249999999999995"/>
    <n v="0"/>
  </r>
  <r>
    <n v="1744"/>
    <d v="2023-07-07T00:00:00"/>
    <d v="1899-12-30T21:49:00"/>
    <n v="4"/>
    <x v="0"/>
    <x v="2"/>
    <x v="2"/>
    <n v="1"/>
    <n v="25"/>
    <n v="8.75"/>
    <n v="25"/>
    <x v="1"/>
    <n v="7"/>
    <x v="1"/>
    <n v="7"/>
    <x v="3"/>
    <x v="1"/>
    <n v="16.25"/>
    <n v="0.65"/>
    <n v="0"/>
  </r>
  <r>
    <n v="273"/>
    <d v="2023-09-26T00:00:00"/>
    <d v="1899-12-30T20:24:00"/>
    <n v="1"/>
    <x v="1"/>
    <x v="30"/>
    <x v="1"/>
    <n v="1"/>
    <n v="50"/>
    <n v="14.5"/>
    <n v="50"/>
    <x v="1"/>
    <n v="9"/>
    <x v="9"/>
    <n v="26"/>
    <x v="6"/>
    <x v="1"/>
    <n v="35.5"/>
    <n v="0.71"/>
    <n v="0"/>
  </r>
  <r>
    <n v="283"/>
    <d v="2023-06-01T00:00:00"/>
    <d v="1899-12-30T20:08:00"/>
    <n v="3"/>
    <x v="1"/>
    <x v="18"/>
    <x v="2"/>
    <n v="1"/>
    <n v="500"/>
    <n v="165"/>
    <n v="500"/>
    <x v="1"/>
    <n v="6"/>
    <x v="11"/>
    <n v="1"/>
    <x v="2"/>
    <x v="3"/>
    <n v="335"/>
    <n v="0.67"/>
    <n v="1"/>
  </r>
  <r>
    <n v="452"/>
    <d v="2023-01-30T00:00:00"/>
    <d v="1899-12-30T22:41:00"/>
    <n v="4"/>
    <x v="1"/>
    <x v="42"/>
    <x v="0"/>
    <n v="3"/>
    <n v="500"/>
    <n v="240"/>
    <n v="1500"/>
    <x v="1"/>
    <n v="1"/>
    <x v="3"/>
    <n v="30"/>
    <x v="1"/>
    <x v="2"/>
    <n v="1260"/>
    <n v="0.84"/>
    <n v="1"/>
  </r>
  <r>
    <n v="469"/>
    <d v="2023-03-21T00:00:00"/>
    <d v="1899-12-30T19:24:00"/>
    <n v="4"/>
    <x v="0"/>
    <x v="18"/>
    <x v="1"/>
    <n v="3"/>
    <n v="25"/>
    <n v="8.75"/>
    <n v="75"/>
    <x v="1"/>
    <n v="3"/>
    <x v="8"/>
    <n v="21"/>
    <x v="6"/>
    <x v="2"/>
    <n v="66.25"/>
    <n v="0.88333333300000005"/>
    <n v="0"/>
  </r>
  <r>
    <n v="620"/>
    <d v="2023-11-06T00:00:00"/>
    <d v="1899-12-30T20:59:00"/>
    <n v="4"/>
    <x v="0"/>
    <x v="15"/>
    <x v="2"/>
    <n v="3"/>
    <n v="25"/>
    <n v="7"/>
    <n v="75"/>
    <x v="1"/>
    <n v="11"/>
    <x v="0"/>
    <n v="6"/>
    <x v="1"/>
    <x v="0"/>
    <n v="68"/>
    <n v="0.90666666699999998"/>
    <n v="0"/>
  </r>
  <r>
    <n v="946"/>
    <d v="2023-08-08T00:00:00"/>
    <d v="1899-12-30T20:15:00"/>
    <n v="2"/>
    <x v="0"/>
    <x v="44"/>
    <x v="2"/>
    <n v="4"/>
    <n v="500"/>
    <n v="235"/>
    <n v="2000"/>
    <x v="1"/>
    <n v="8"/>
    <x v="4"/>
    <n v="8"/>
    <x v="6"/>
    <x v="1"/>
    <n v="1765"/>
    <n v="0.88249999999999995"/>
    <n v="1"/>
  </r>
  <r>
    <n v="1273"/>
    <d v="2023-06-20T00:00:00"/>
    <d v="1899-12-30T20:39:00"/>
    <n v="1"/>
    <x v="1"/>
    <x v="30"/>
    <x v="1"/>
    <n v="1"/>
    <n v="50"/>
    <n v="25.5"/>
    <n v="50"/>
    <x v="1"/>
    <n v="6"/>
    <x v="11"/>
    <n v="20"/>
    <x v="6"/>
    <x v="3"/>
    <n v="24.5"/>
    <n v="0.49"/>
    <n v="0"/>
  </r>
  <r>
    <n v="1283"/>
    <d v="2023-10-14T00:00:00"/>
    <d v="1899-12-30T20:15:00"/>
    <n v="1"/>
    <x v="1"/>
    <x v="18"/>
    <x v="2"/>
    <n v="1"/>
    <n v="500"/>
    <n v="130"/>
    <n v="500"/>
    <x v="1"/>
    <n v="10"/>
    <x v="5"/>
    <n v="14"/>
    <x v="0"/>
    <x v="0"/>
    <n v="370"/>
    <n v="0.74"/>
    <n v="1"/>
  </r>
  <r>
    <n v="1452"/>
    <d v="2023-08-06T00:00:00"/>
    <d v="1899-12-30T17:41:00"/>
    <n v="3"/>
    <x v="1"/>
    <x v="42"/>
    <x v="0"/>
    <n v="3"/>
    <n v="500"/>
    <n v="185"/>
    <n v="1500"/>
    <x v="1"/>
    <n v="8"/>
    <x v="4"/>
    <n v="6"/>
    <x v="5"/>
    <x v="1"/>
    <n v="1315"/>
    <n v="0.87666666699999996"/>
    <n v="1"/>
  </r>
  <r>
    <n v="1469"/>
    <d v="2023-12-08T00:00:00"/>
    <d v="1899-12-30T17:22:00"/>
    <n v="3"/>
    <x v="0"/>
    <x v="18"/>
    <x v="1"/>
    <n v="3"/>
    <n v="25"/>
    <n v="12.5"/>
    <n v="75"/>
    <x v="1"/>
    <n v="12"/>
    <x v="2"/>
    <n v="8"/>
    <x v="3"/>
    <x v="0"/>
    <n v="62.5"/>
    <n v="0.83333333300000001"/>
    <n v="0"/>
  </r>
  <r>
    <n v="1620"/>
    <d v="2023-02-03T00:00:00"/>
    <d v="1899-12-30T22:48:00"/>
    <n v="5"/>
    <x v="0"/>
    <x v="15"/>
    <x v="2"/>
    <n v="3"/>
    <n v="25"/>
    <n v="7.75"/>
    <n v="75"/>
    <x v="1"/>
    <n v="2"/>
    <x v="10"/>
    <n v="3"/>
    <x v="3"/>
    <x v="2"/>
    <n v="67.25"/>
    <n v="0.89666666699999997"/>
    <n v="0"/>
  </r>
  <r>
    <n v="1946"/>
    <d v="2023-07-27T00:00:00"/>
    <d v="1899-12-30T20:48:00"/>
    <n v="5"/>
    <x v="0"/>
    <x v="44"/>
    <x v="2"/>
    <n v="4"/>
    <n v="500"/>
    <n v="165"/>
    <n v="2000"/>
    <x v="1"/>
    <n v="7"/>
    <x v="1"/>
    <n v="27"/>
    <x v="2"/>
    <x v="1"/>
    <n v="1835"/>
    <n v="0.91749999999999998"/>
    <n v="1"/>
  </r>
  <r>
    <n v="148"/>
    <d v="2023-07-03T00:00:00"/>
    <d v="1899-12-30T20:39:00"/>
    <n v="5"/>
    <x v="0"/>
    <x v="18"/>
    <x v="0"/>
    <n v="2"/>
    <n v="30"/>
    <n v="9.9"/>
    <n v="60"/>
    <x v="1"/>
    <n v="7"/>
    <x v="1"/>
    <n v="3"/>
    <x v="1"/>
    <x v="1"/>
    <n v="50.1"/>
    <n v="0.83499999999999996"/>
    <n v="0"/>
  </r>
  <r>
    <n v="414"/>
    <d v="2023-05-10T00:00:00"/>
    <d v="1899-12-30T19:40:00"/>
    <n v="1"/>
    <x v="0"/>
    <x v="42"/>
    <x v="1"/>
    <n v="4"/>
    <n v="25"/>
    <n v="9.75"/>
    <n v="100"/>
    <x v="1"/>
    <n v="5"/>
    <x v="7"/>
    <n v="10"/>
    <x v="4"/>
    <x v="3"/>
    <n v="90.25"/>
    <n v="0.90249999999999997"/>
    <n v="0"/>
  </r>
  <r>
    <n v="883"/>
    <d v="2023-08-20T00:00:00"/>
    <d v="1899-12-30T20:43:00"/>
    <n v="5"/>
    <x v="0"/>
    <x v="2"/>
    <x v="2"/>
    <n v="1"/>
    <n v="500"/>
    <n v="245"/>
    <n v="500"/>
    <x v="1"/>
    <n v="8"/>
    <x v="4"/>
    <n v="20"/>
    <x v="5"/>
    <x v="1"/>
    <n v="255"/>
    <n v="0.51"/>
    <n v="1"/>
  </r>
  <r>
    <n v="1148"/>
    <d v="2023-08-11T00:00:00"/>
    <d v="1899-12-30T22:04:00"/>
    <n v="2"/>
    <x v="0"/>
    <x v="18"/>
    <x v="0"/>
    <n v="2"/>
    <n v="30"/>
    <n v="10.8"/>
    <n v="60"/>
    <x v="1"/>
    <n v="8"/>
    <x v="4"/>
    <n v="11"/>
    <x v="3"/>
    <x v="1"/>
    <n v="49.2"/>
    <n v="0.82"/>
    <n v="0"/>
  </r>
  <r>
    <n v="1414"/>
    <d v="2023-11-22T00:00:00"/>
    <d v="1899-12-30T21:28:00"/>
    <n v="4"/>
    <x v="0"/>
    <x v="42"/>
    <x v="1"/>
    <n v="4"/>
    <n v="25"/>
    <n v="11.25"/>
    <n v="100"/>
    <x v="1"/>
    <n v="11"/>
    <x v="0"/>
    <n v="22"/>
    <x v="4"/>
    <x v="0"/>
    <n v="88.75"/>
    <n v="0.88749999999999996"/>
    <n v="0"/>
  </r>
  <r>
    <n v="1883"/>
    <d v="2023-09-20T00:00:00"/>
    <d v="1899-12-30T17:54:00"/>
    <n v="3"/>
    <x v="0"/>
    <x v="2"/>
    <x v="2"/>
    <n v="1"/>
    <n v="500"/>
    <n v="200"/>
    <n v="500"/>
    <x v="1"/>
    <n v="9"/>
    <x v="9"/>
    <n v="20"/>
    <x v="4"/>
    <x v="1"/>
    <n v="300"/>
    <n v="0.6"/>
    <n v="1"/>
  </r>
  <r>
    <n v="731"/>
    <d v="2023-09-30T00:00:00"/>
    <d v="1899-12-30T18:49:00"/>
    <n v="1"/>
    <x v="0"/>
    <x v="29"/>
    <x v="0"/>
    <n v="4"/>
    <n v="500"/>
    <n v="165"/>
    <n v="2000"/>
    <x v="1"/>
    <n v="9"/>
    <x v="9"/>
    <n v="30"/>
    <x v="0"/>
    <x v="1"/>
    <n v="1835"/>
    <n v="0.91749999999999998"/>
    <n v="1"/>
  </r>
  <r>
    <n v="930"/>
    <d v="2023-01-12T00:00:00"/>
    <d v="1899-12-30T17:54:00"/>
    <n v="1"/>
    <x v="0"/>
    <x v="29"/>
    <x v="0"/>
    <n v="4"/>
    <n v="50"/>
    <n v="26"/>
    <n v="200"/>
    <x v="1"/>
    <n v="1"/>
    <x v="3"/>
    <n v="12"/>
    <x v="2"/>
    <x v="2"/>
    <n v="174"/>
    <n v="0.87"/>
    <n v="1"/>
  </r>
  <r>
    <n v="1731"/>
    <d v="2023-12-19T00:00:00"/>
    <d v="1899-12-30T17:41:00"/>
    <n v="3"/>
    <x v="0"/>
    <x v="29"/>
    <x v="0"/>
    <n v="4"/>
    <n v="500"/>
    <n v="195"/>
    <n v="2000"/>
    <x v="1"/>
    <n v="12"/>
    <x v="2"/>
    <n v="19"/>
    <x v="6"/>
    <x v="0"/>
    <n v="1805"/>
    <n v="0.90249999999999997"/>
    <n v="1"/>
  </r>
  <r>
    <n v="1930"/>
    <d v="2023-12-21T00:00:00"/>
    <d v="1899-12-30T19:58:00"/>
    <n v="5"/>
    <x v="0"/>
    <x v="29"/>
    <x v="0"/>
    <n v="4"/>
    <n v="50"/>
    <n v="13"/>
    <n v="200"/>
    <x v="1"/>
    <n v="12"/>
    <x v="2"/>
    <n v="21"/>
    <x v="2"/>
    <x v="0"/>
    <n v="187"/>
    <n v="0.93500000000000005"/>
    <n v="1"/>
  </r>
  <r>
    <n v="518"/>
    <d v="2023-07-31T00:00:00"/>
    <d v="1899-12-30T17:01:00"/>
    <n v="2"/>
    <x v="1"/>
    <x v="2"/>
    <x v="0"/>
    <n v="1"/>
    <n v="30"/>
    <n v="16.2"/>
    <n v="30"/>
    <x v="1"/>
    <n v="7"/>
    <x v="1"/>
    <n v="31"/>
    <x v="1"/>
    <x v="1"/>
    <n v="13.8"/>
    <n v="0.46"/>
    <n v="0"/>
  </r>
  <r>
    <n v="1518"/>
    <d v="2023-05-18T00:00:00"/>
    <d v="1899-12-30T20:03:00"/>
    <n v="3"/>
    <x v="1"/>
    <x v="2"/>
    <x v="0"/>
    <n v="1"/>
    <n v="30"/>
    <n v="12.6"/>
    <n v="30"/>
    <x v="1"/>
    <n v="5"/>
    <x v="7"/>
    <n v="18"/>
    <x v="2"/>
    <x v="3"/>
    <n v="17.399999999999999"/>
    <n v="0.57999999999999996"/>
    <n v="0"/>
  </r>
  <r>
    <n v="758"/>
    <d v="2023-04-23T00:00:00"/>
    <d v="1899-12-30T18:30:00"/>
    <n v="1"/>
    <x v="0"/>
    <x v="3"/>
    <x v="0"/>
    <n v="4"/>
    <n v="25"/>
    <n v="6.75"/>
    <n v="100"/>
    <x v="1"/>
    <n v="4"/>
    <x v="6"/>
    <n v="23"/>
    <x v="5"/>
    <x v="3"/>
    <n v="93.25"/>
    <n v="0.9325"/>
    <n v="0"/>
  </r>
  <r>
    <n v="1758"/>
    <d v="2023-07-22T00:00:00"/>
    <d v="1899-12-30T18:19:00"/>
    <n v="3"/>
    <x v="0"/>
    <x v="3"/>
    <x v="0"/>
    <n v="4"/>
    <n v="25"/>
    <n v="7.5"/>
    <n v="100"/>
    <x v="1"/>
    <n v="7"/>
    <x v="1"/>
    <n v="22"/>
    <x v="0"/>
    <x v="1"/>
    <n v="92.5"/>
    <n v="0.92500000000000004"/>
    <n v="0"/>
  </r>
  <r>
    <n v="639"/>
    <d v="2023-08-01T00:00:00"/>
    <d v="1899-12-30T19:47:00"/>
    <n v="4"/>
    <x v="1"/>
    <x v="44"/>
    <x v="1"/>
    <n v="4"/>
    <n v="50"/>
    <n v="26.5"/>
    <n v="200"/>
    <x v="1"/>
    <n v="8"/>
    <x v="4"/>
    <n v="1"/>
    <x v="6"/>
    <x v="1"/>
    <n v="173.5"/>
    <n v="0.86750000000000005"/>
    <n v="1"/>
  </r>
  <r>
    <n v="838"/>
    <d v="2023-09-30T00:00:00"/>
    <d v="1899-12-30T21:20:00"/>
    <n v="1"/>
    <x v="0"/>
    <x v="35"/>
    <x v="2"/>
    <n v="2"/>
    <n v="300"/>
    <n v="153"/>
    <n v="600"/>
    <x v="1"/>
    <n v="9"/>
    <x v="9"/>
    <n v="30"/>
    <x v="0"/>
    <x v="1"/>
    <n v="447"/>
    <n v="0.745"/>
    <n v="1"/>
  </r>
  <r>
    <n v="1639"/>
    <d v="2023-12-20T00:00:00"/>
    <d v="1899-12-30T18:13:00"/>
    <n v="5"/>
    <x v="1"/>
    <x v="44"/>
    <x v="1"/>
    <n v="4"/>
    <n v="50"/>
    <n v="24"/>
    <n v="200"/>
    <x v="1"/>
    <n v="12"/>
    <x v="2"/>
    <n v="20"/>
    <x v="4"/>
    <x v="0"/>
    <n v="176"/>
    <n v="0.88"/>
    <n v="1"/>
  </r>
  <r>
    <n v="1838"/>
    <d v="2023-06-28T00:00:00"/>
    <d v="1899-12-30T17:06:00"/>
    <n v="4"/>
    <x v="0"/>
    <x v="35"/>
    <x v="2"/>
    <n v="2"/>
    <n v="300"/>
    <n v="102"/>
    <n v="600"/>
    <x v="1"/>
    <n v="6"/>
    <x v="11"/>
    <n v="28"/>
    <x v="4"/>
    <x v="3"/>
    <n v="498"/>
    <n v="0.83"/>
    <n v="1"/>
  </r>
  <r>
    <n v="353"/>
    <d v="2023-03-18T00:00:00"/>
    <d v="1899-12-30T21:35:00"/>
    <n v="5"/>
    <x v="0"/>
    <x v="16"/>
    <x v="2"/>
    <n v="1"/>
    <n v="500"/>
    <n v="270"/>
    <n v="500"/>
    <x v="1"/>
    <n v="3"/>
    <x v="8"/>
    <n v="18"/>
    <x v="0"/>
    <x v="2"/>
    <n v="230"/>
    <n v="0.46"/>
    <n v="1"/>
  </r>
  <r>
    <n v="501"/>
    <d v="2023-06-28T00:00:00"/>
    <d v="1899-12-30T20:21:00"/>
    <n v="2"/>
    <x v="0"/>
    <x v="27"/>
    <x v="2"/>
    <n v="2"/>
    <n v="30"/>
    <n v="9"/>
    <n v="60"/>
    <x v="1"/>
    <n v="6"/>
    <x v="11"/>
    <n v="28"/>
    <x v="4"/>
    <x v="3"/>
    <n v="51"/>
    <n v="0.85"/>
    <n v="0"/>
  </r>
  <r>
    <n v="721"/>
    <d v="2023-06-23T00:00:00"/>
    <d v="1899-12-30T17:10:00"/>
    <n v="5"/>
    <x v="1"/>
    <x v="41"/>
    <x v="0"/>
    <n v="1"/>
    <n v="500"/>
    <n v="145"/>
    <n v="500"/>
    <x v="1"/>
    <n v="6"/>
    <x v="11"/>
    <n v="23"/>
    <x v="3"/>
    <x v="3"/>
    <n v="355"/>
    <n v="0.71"/>
    <n v="1"/>
  </r>
  <r>
    <n v="1353"/>
    <d v="2023-09-04T00:00:00"/>
    <d v="1899-12-30T21:59:00"/>
    <n v="3"/>
    <x v="0"/>
    <x v="16"/>
    <x v="2"/>
    <n v="1"/>
    <n v="500"/>
    <n v="235"/>
    <n v="500"/>
    <x v="1"/>
    <n v="9"/>
    <x v="9"/>
    <n v="4"/>
    <x v="1"/>
    <x v="1"/>
    <n v="265"/>
    <n v="0.53"/>
    <n v="1"/>
  </r>
  <r>
    <n v="1501"/>
    <d v="2023-01-31T00:00:00"/>
    <d v="1899-12-30T18:00:00"/>
    <n v="1"/>
    <x v="0"/>
    <x v="27"/>
    <x v="2"/>
    <n v="2"/>
    <n v="30"/>
    <n v="13.5"/>
    <n v="60"/>
    <x v="1"/>
    <n v="1"/>
    <x v="3"/>
    <n v="31"/>
    <x v="6"/>
    <x v="2"/>
    <n v="46.5"/>
    <n v="0.77500000000000002"/>
    <n v="0"/>
  </r>
  <r>
    <n v="1721"/>
    <d v="2023-01-21T00:00:00"/>
    <d v="1899-12-30T22:42:00"/>
    <n v="3"/>
    <x v="1"/>
    <x v="41"/>
    <x v="0"/>
    <n v="1"/>
    <n v="500"/>
    <n v="215"/>
    <n v="500"/>
    <x v="1"/>
    <n v="1"/>
    <x v="3"/>
    <n v="21"/>
    <x v="0"/>
    <x v="2"/>
    <n v="285"/>
    <n v="0.56999999999999995"/>
    <n v="1"/>
  </r>
  <r>
    <n v="123"/>
    <d v="2023-08-11T00:00:00"/>
    <d v="1899-12-30T19:00:00"/>
    <n v="3"/>
    <x v="1"/>
    <x v="2"/>
    <x v="2"/>
    <n v="2"/>
    <n v="30"/>
    <n v="11.7"/>
    <n v="60"/>
    <x v="1"/>
    <n v="8"/>
    <x v="4"/>
    <n v="11"/>
    <x v="3"/>
    <x v="1"/>
    <n v="48.3"/>
    <n v="0.80500000000000005"/>
    <n v="0"/>
  </r>
  <r>
    <n v="164"/>
    <d v="2023-02-28T00:00:00"/>
    <d v="1899-12-30T18:26:00"/>
    <n v="3"/>
    <x v="1"/>
    <x v="35"/>
    <x v="1"/>
    <n v="3"/>
    <n v="500"/>
    <n v="185"/>
    <n v="1500"/>
    <x v="1"/>
    <n v="2"/>
    <x v="10"/>
    <n v="28"/>
    <x v="6"/>
    <x v="2"/>
    <n v="1315"/>
    <n v="0.87666666699999996"/>
    <n v="1"/>
  </r>
  <r>
    <n v="425"/>
    <d v="2023-06-11T00:00:00"/>
    <d v="1899-12-30T18:28:00"/>
    <n v="2"/>
    <x v="1"/>
    <x v="46"/>
    <x v="2"/>
    <n v="4"/>
    <n v="30"/>
    <n v="15.6"/>
    <n v="120"/>
    <x v="1"/>
    <n v="6"/>
    <x v="11"/>
    <n v="11"/>
    <x v="5"/>
    <x v="3"/>
    <n v="104.4"/>
    <n v="0.87"/>
    <n v="0"/>
  </r>
  <r>
    <n v="1123"/>
    <d v="2023-12-11T00:00:00"/>
    <d v="1899-12-30T21:04:00"/>
    <n v="1"/>
    <x v="1"/>
    <x v="2"/>
    <x v="2"/>
    <n v="2"/>
    <n v="30"/>
    <n v="10.8"/>
    <n v="60"/>
    <x v="1"/>
    <n v="12"/>
    <x v="2"/>
    <n v="11"/>
    <x v="1"/>
    <x v="0"/>
    <n v="49.2"/>
    <n v="0.82"/>
    <n v="0"/>
  </r>
  <r>
    <n v="1164"/>
    <d v="2023-04-07T00:00:00"/>
    <d v="1899-12-30T20:53:00"/>
    <n v="1"/>
    <x v="1"/>
    <x v="35"/>
    <x v="1"/>
    <n v="3"/>
    <n v="500"/>
    <n v="245"/>
    <n v="1500"/>
    <x v="1"/>
    <n v="4"/>
    <x v="6"/>
    <n v="7"/>
    <x v="3"/>
    <x v="3"/>
    <n v="1255"/>
    <n v="0.83666666700000003"/>
    <n v="1"/>
  </r>
  <r>
    <n v="1425"/>
    <d v="2023-12-02T00:00:00"/>
    <d v="1899-12-30T22:15:00"/>
    <n v="1"/>
    <x v="1"/>
    <x v="46"/>
    <x v="2"/>
    <n v="4"/>
    <n v="30"/>
    <n v="10.199999999999999"/>
    <n v="120"/>
    <x v="1"/>
    <n v="12"/>
    <x v="2"/>
    <n v="2"/>
    <x v="0"/>
    <x v="0"/>
    <n v="109.8"/>
    <n v="0.91500000000000004"/>
    <n v="0"/>
  </r>
  <r>
    <n v="48"/>
    <d v="2023-10-06T00:00:00"/>
    <d v="1899-12-30T17:34:00"/>
    <n v="2"/>
    <x v="0"/>
    <x v="29"/>
    <x v="2"/>
    <n v="3"/>
    <n v="300"/>
    <n v="123"/>
    <n v="900"/>
    <x v="1"/>
    <n v="10"/>
    <x v="5"/>
    <n v="6"/>
    <x v="3"/>
    <x v="0"/>
    <n v="777"/>
    <n v="0.86333333300000004"/>
    <n v="1"/>
  </r>
  <r>
    <n v="118"/>
    <d v="2023-03-13T00:00:00"/>
    <d v="1899-12-30T20:07:00"/>
    <n v="3"/>
    <x v="1"/>
    <x v="7"/>
    <x v="2"/>
    <n v="4"/>
    <n v="500"/>
    <n v="270"/>
    <n v="2000"/>
    <x v="1"/>
    <n v="3"/>
    <x v="8"/>
    <n v="13"/>
    <x v="1"/>
    <x v="2"/>
    <n v="1730"/>
    <n v="0.86499999999999999"/>
    <n v="1"/>
  </r>
  <r>
    <n v="203"/>
    <d v="2023-03-12T00:00:00"/>
    <d v="1899-12-30T21:33:00"/>
    <n v="4"/>
    <x v="0"/>
    <x v="34"/>
    <x v="0"/>
    <n v="2"/>
    <n v="500"/>
    <n v="175"/>
    <n v="1000"/>
    <x v="1"/>
    <n v="3"/>
    <x v="8"/>
    <n v="12"/>
    <x v="5"/>
    <x v="2"/>
    <n v="825"/>
    <n v="0.82499999999999996"/>
    <n v="1"/>
  </r>
  <r>
    <n v="305"/>
    <d v="2023-03-22T00:00:00"/>
    <d v="1899-12-30T22:09:00"/>
    <n v="4"/>
    <x v="1"/>
    <x v="18"/>
    <x v="1"/>
    <n v="1"/>
    <n v="30"/>
    <n v="14.4"/>
    <n v="30"/>
    <x v="1"/>
    <n v="3"/>
    <x v="8"/>
    <n v="22"/>
    <x v="4"/>
    <x v="2"/>
    <n v="15.6"/>
    <n v="0.52"/>
    <n v="0"/>
  </r>
  <r>
    <n v="358"/>
    <d v="2023-10-12T00:00:00"/>
    <d v="1899-12-30T18:32:00"/>
    <n v="4"/>
    <x v="1"/>
    <x v="37"/>
    <x v="1"/>
    <n v="1"/>
    <n v="300"/>
    <n v="132"/>
    <n v="300"/>
    <x v="1"/>
    <n v="10"/>
    <x v="5"/>
    <n v="12"/>
    <x v="2"/>
    <x v="0"/>
    <n v="168"/>
    <n v="0.56000000000000005"/>
    <n v="1"/>
  </r>
  <r>
    <n v="376"/>
    <d v="2023-01-29T00:00:00"/>
    <d v="1899-12-30T18:21:00"/>
    <n v="4"/>
    <x v="1"/>
    <x v="3"/>
    <x v="1"/>
    <n v="1"/>
    <n v="30"/>
    <n v="12"/>
    <n v="30"/>
    <x v="1"/>
    <n v="1"/>
    <x v="3"/>
    <n v="29"/>
    <x v="5"/>
    <x v="2"/>
    <n v="18"/>
    <n v="0.6"/>
    <n v="0"/>
  </r>
  <r>
    <n v="398"/>
    <d v="2023-02-23T00:00:00"/>
    <d v="1899-12-30T21:17:00"/>
    <n v="5"/>
    <x v="1"/>
    <x v="42"/>
    <x v="0"/>
    <n v="2"/>
    <n v="300"/>
    <n v="114"/>
    <n v="600"/>
    <x v="1"/>
    <n v="2"/>
    <x v="10"/>
    <n v="23"/>
    <x v="2"/>
    <x v="2"/>
    <n v="486"/>
    <n v="0.81"/>
    <n v="1"/>
  </r>
  <r>
    <n v="411"/>
    <d v="2023-07-25T00:00:00"/>
    <d v="1899-12-30T20:04:00"/>
    <n v="3"/>
    <x v="0"/>
    <x v="44"/>
    <x v="2"/>
    <n v="4"/>
    <n v="50"/>
    <n v="24.5"/>
    <n v="200"/>
    <x v="1"/>
    <n v="7"/>
    <x v="1"/>
    <n v="25"/>
    <x v="6"/>
    <x v="1"/>
    <n v="175.5"/>
    <n v="0.87749999999999995"/>
    <n v="1"/>
  </r>
  <r>
    <n v="504"/>
    <d v="2023-03-31T00:00:00"/>
    <d v="1899-12-30T18:07:00"/>
    <n v="4"/>
    <x v="1"/>
    <x v="9"/>
    <x v="1"/>
    <n v="3"/>
    <n v="50"/>
    <n v="22"/>
    <n v="150"/>
    <x v="1"/>
    <n v="3"/>
    <x v="8"/>
    <n v="31"/>
    <x v="3"/>
    <x v="2"/>
    <n v="128"/>
    <n v="0.85333333300000003"/>
    <n v="1"/>
  </r>
  <r>
    <n v="970"/>
    <d v="2023-05-25T00:00:00"/>
    <d v="1899-12-30T18:13:00"/>
    <n v="2"/>
    <x v="0"/>
    <x v="26"/>
    <x v="2"/>
    <n v="4"/>
    <n v="500"/>
    <n v="220"/>
    <n v="2000"/>
    <x v="1"/>
    <n v="5"/>
    <x v="7"/>
    <n v="25"/>
    <x v="2"/>
    <x v="3"/>
    <n v="1780"/>
    <n v="0.89"/>
    <n v="1"/>
  </r>
  <r>
    <n v="996"/>
    <d v="2023-07-03T00:00:00"/>
    <d v="1899-12-30T17:38:00"/>
    <n v="2"/>
    <x v="0"/>
    <x v="44"/>
    <x v="0"/>
    <n v="1"/>
    <n v="50"/>
    <n v="13.5"/>
    <n v="50"/>
    <x v="1"/>
    <n v="7"/>
    <x v="1"/>
    <n v="3"/>
    <x v="1"/>
    <x v="1"/>
    <n v="36.5"/>
    <n v="0.73"/>
    <n v="0"/>
  </r>
  <r>
    <n v="1048"/>
    <d v="2023-07-12T00:00:00"/>
    <d v="1899-12-30T19:14:00"/>
    <n v="3"/>
    <x v="0"/>
    <x v="29"/>
    <x v="2"/>
    <n v="3"/>
    <n v="300"/>
    <n v="93"/>
    <n v="900"/>
    <x v="1"/>
    <n v="7"/>
    <x v="1"/>
    <n v="12"/>
    <x v="4"/>
    <x v="1"/>
    <n v="807"/>
    <n v="0.89666666699999997"/>
    <n v="1"/>
  </r>
  <r>
    <n v="1118"/>
    <d v="2023-10-13T00:00:00"/>
    <d v="1899-12-30T17:24:00"/>
    <n v="1"/>
    <x v="1"/>
    <x v="7"/>
    <x v="2"/>
    <n v="4"/>
    <n v="500"/>
    <n v="170"/>
    <n v="2000"/>
    <x v="1"/>
    <n v="10"/>
    <x v="5"/>
    <n v="13"/>
    <x v="3"/>
    <x v="0"/>
    <n v="1830"/>
    <n v="0.91500000000000004"/>
    <n v="1"/>
  </r>
  <r>
    <n v="1203"/>
    <d v="2023-11-26T00:00:00"/>
    <d v="1899-12-30T18:36:00"/>
    <n v="2"/>
    <x v="0"/>
    <x v="34"/>
    <x v="0"/>
    <n v="2"/>
    <n v="500"/>
    <n v="145"/>
    <n v="1000"/>
    <x v="1"/>
    <n v="11"/>
    <x v="0"/>
    <n v="26"/>
    <x v="5"/>
    <x v="0"/>
    <n v="855"/>
    <n v="0.85499999999999998"/>
    <n v="1"/>
  </r>
  <r>
    <n v="1305"/>
    <d v="2023-04-05T00:00:00"/>
    <d v="1899-12-30T18:24:00"/>
    <n v="5"/>
    <x v="1"/>
    <x v="18"/>
    <x v="1"/>
    <n v="1"/>
    <n v="30"/>
    <n v="7.8"/>
    <n v="30"/>
    <x v="1"/>
    <n v="4"/>
    <x v="6"/>
    <n v="5"/>
    <x v="4"/>
    <x v="3"/>
    <n v="22.2"/>
    <n v="0.74"/>
    <n v="0"/>
  </r>
  <r>
    <n v="1358"/>
    <d v="2023-05-04T00:00:00"/>
    <d v="1899-12-30T21:40:00"/>
    <n v="5"/>
    <x v="1"/>
    <x v="37"/>
    <x v="1"/>
    <n v="1"/>
    <n v="300"/>
    <n v="156"/>
    <n v="300"/>
    <x v="1"/>
    <n v="5"/>
    <x v="7"/>
    <n v="4"/>
    <x v="2"/>
    <x v="3"/>
    <n v="144"/>
    <n v="0.48"/>
    <n v="1"/>
  </r>
  <r>
    <n v="1376"/>
    <d v="2023-07-15T00:00:00"/>
    <d v="1899-12-30T19:49:00"/>
    <n v="3"/>
    <x v="1"/>
    <x v="3"/>
    <x v="1"/>
    <n v="1"/>
    <n v="30"/>
    <n v="9.9"/>
    <n v="30"/>
    <x v="1"/>
    <n v="7"/>
    <x v="1"/>
    <n v="15"/>
    <x v="0"/>
    <x v="1"/>
    <n v="20.100000000000001"/>
    <n v="0.67"/>
    <n v="0"/>
  </r>
  <r>
    <n v="1398"/>
    <d v="2023-07-19T00:00:00"/>
    <d v="1899-12-30T17:20:00"/>
    <n v="1"/>
    <x v="1"/>
    <x v="42"/>
    <x v="0"/>
    <n v="2"/>
    <n v="300"/>
    <n v="120"/>
    <n v="600"/>
    <x v="1"/>
    <n v="7"/>
    <x v="1"/>
    <n v="19"/>
    <x v="4"/>
    <x v="1"/>
    <n v="480"/>
    <n v="0.8"/>
    <n v="1"/>
  </r>
  <r>
    <n v="1411"/>
    <d v="2023-11-24T00:00:00"/>
    <d v="1899-12-30T20:27:00"/>
    <n v="1"/>
    <x v="0"/>
    <x v="44"/>
    <x v="2"/>
    <n v="4"/>
    <n v="50"/>
    <n v="26"/>
    <n v="200"/>
    <x v="1"/>
    <n v="11"/>
    <x v="0"/>
    <n v="24"/>
    <x v="3"/>
    <x v="0"/>
    <n v="174"/>
    <n v="0.87"/>
    <n v="1"/>
  </r>
  <r>
    <n v="1504"/>
    <d v="2023-01-25T00:00:00"/>
    <d v="1899-12-30T17:01:00"/>
    <n v="4"/>
    <x v="1"/>
    <x v="9"/>
    <x v="1"/>
    <n v="3"/>
    <n v="50"/>
    <n v="25.5"/>
    <n v="150"/>
    <x v="1"/>
    <n v="1"/>
    <x v="3"/>
    <n v="25"/>
    <x v="4"/>
    <x v="2"/>
    <n v="124.5"/>
    <n v="0.83"/>
    <n v="1"/>
  </r>
  <r>
    <n v="1970"/>
    <d v="2023-05-22T00:00:00"/>
    <d v="1899-12-30T17:44:00"/>
    <n v="5"/>
    <x v="0"/>
    <x v="26"/>
    <x v="2"/>
    <n v="4"/>
    <n v="500"/>
    <n v="230"/>
    <n v="2000"/>
    <x v="1"/>
    <n v="5"/>
    <x v="7"/>
    <n v="22"/>
    <x v="1"/>
    <x v="3"/>
    <n v="1770"/>
    <n v="0.88500000000000001"/>
    <n v="1"/>
  </r>
  <r>
    <n v="1996"/>
    <d v="2023-12-07T00:00:00"/>
    <d v="1899-12-30T18:49:00"/>
    <n v="2"/>
    <x v="0"/>
    <x v="44"/>
    <x v="0"/>
    <n v="1"/>
    <n v="50"/>
    <n v="25"/>
    <n v="50"/>
    <x v="1"/>
    <n v="12"/>
    <x v="2"/>
    <n v="7"/>
    <x v="2"/>
    <x v="0"/>
    <n v="25"/>
    <n v="0.5"/>
    <n v="0"/>
  </r>
  <r>
    <n v="81"/>
    <d v="2023-06-07T00:00:00"/>
    <d v="1899-12-30T22:48:00"/>
    <n v="4"/>
    <x v="0"/>
    <x v="2"/>
    <x v="2"/>
    <n v="1"/>
    <n v="50"/>
    <n v="14.5"/>
    <n v="50"/>
    <x v="1"/>
    <n v="6"/>
    <x v="11"/>
    <n v="7"/>
    <x v="4"/>
    <x v="3"/>
    <n v="35.5"/>
    <n v="0.71"/>
    <n v="0"/>
  </r>
  <r>
    <n v="155"/>
    <d v="2023-07-18T00:00:00"/>
    <d v="1899-12-30T18:05:00"/>
    <n v="3"/>
    <x v="0"/>
    <x v="16"/>
    <x v="2"/>
    <n v="4"/>
    <n v="500"/>
    <n v="150"/>
    <n v="2000"/>
    <x v="1"/>
    <n v="7"/>
    <x v="1"/>
    <n v="18"/>
    <x v="6"/>
    <x v="1"/>
    <n v="1850"/>
    <n v="0.92500000000000004"/>
    <n v="1"/>
  </r>
  <r>
    <n v="470"/>
    <d v="2023-12-26T00:00:00"/>
    <d v="1899-12-30T18:58:00"/>
    <n v="4"/>
    <x v="1"/>
    <x v="10"/>
    <x v="0"/>
    <n v="2"/>
    <n v="500"/>
    <n v="165"/>
    <n v="1000"/>
    <x v="1"/>
    <n v="12"/>
    <x v="2"/>
    <n v="26"/>
    <x v="6"/>
    <x v="0"/>
    <n v="835"/>
    <n v="0.83499999999999996"/>
    <n v="1"/>
  </r>
  <r>
    <n v="1081"/>
    <d v="2023-06-27T00:00:00"/>
    <d v="1899-12-30T22:23:00"/>
    <n v="5"/>
    <x v="0"/>
    <x v="2"/>
    <x v="2"/>
    <n v="1"/>
    <n v="50"/>
    <n v="17"/>
    <n v="50"/>
    <x v="1"/>
    <n v="6"/>
    <x v="11"/>
    <n v="27"/>
    <x v="6"/>
    <x v="3"/>
    <n v="33"/>
    <n v="0.66"/>
    <n v="0"/>
  </r>
  <r>
    <n v="1155"/>
    <d v="2023-12-03T00:00:00"/>
    <d v="1899-12-30T18:22:00"/>
    <n v="3"/>
    <x v="0"/>
    <x v="16"/>
    <x v="2"/>
    <n v="4"/>
    <n v="500"/>
    <n v="255"/>
    <n v="2000"/>
    <x v="1"/>
    <n v="12"/>
    <x v="2"/>
    <n v="3"/>
    <x v="5"/>
    <x v="0"/>
    <n v="1745"/>
    <n v="0.87250000000000005"/>
    <n v="1"/>
  </r>
  <r>
    <n v="1470"/>
    <d v="2023-06-26T00:00:00"/>
    <d v="1899-12-30T19:47:00"/>
    <n v="1"/>
    <x v="1"/>
    <x v="10"/>
    <x v="0"/>
    <n v="2"/>
    <n v="500"/>
    <n v="165"/>
    <n v="1000"/>
    <x v="1"/>
    <n v="6"/>
    <x v="11"/>
    <n v="26"/>
    <x v="1"/>
    <x v="3"/>
    <n v="835"/>
    <n v="0.83499999999999996"/>
    <n v="1"/>
  </r>
  <r>
    <n v="106"/>
    <d v="2023-05-17T00:00:00"/>
    <d v="1899-12-30T18:58:00"/>
    <n v="1"/>
    <x v="1"/>
    <x v="1"/>
    <x v="0"/>
    <n v="1"/>
    <n v="50"/>
    <n v="15"/>
    <n v="50"/>
    <x v="1"/>
    <n v="5"/>
    <x v="7"/>
    <n v="17"/>
    <x v="4"/>
    <x v="3"/>
    <n v="35"/>
    <n v="0.7"/>
    <n v="0"/>
  </r>
  <r>
    <n v="818"/>
    <d v="2023-05-29T00:00:00"/>
    <d v="1899-12-30T18:56:00"/>
    <n v="4"/>
    <x v="0"/>
    <x v="7"/>
    <x v="2"/>
    <n v="1"/>
    <n v="500"/>
    <n v="265"/>
    <n v="500"/>
    <x v="1"/>
    <n v="5"/>
    <x v="7"/>
    <n v="29"/>
    <x v="1"/>
    <x v="3"/>
    <n v="235"/>
    <n v="0.47"/>
    <n v="1"/>
  </r>
  <r>
    <n v="1106"/>
    <d v="2023-08-12T00:00:00"/>
    <d v="1899-12-30T17:50:00"/>
    <n v="3"/>
    <x v="1"/>
    <x v="1"/>
    <x v="0"/>
    <n v="1"/>
    <n v="50"/>
    <n v="14"/>
    <n v="50"/>
    <x v="1"/>
    <n v="8"/>
    <x v="4"/>
    <n v="12"/>
    <x v="0"/>
    <x v="1"/>
    <n v="36"/>
    <n v="0.72"/>
    <n v="0"/>
  </r>
  <r>
    <n v="1818"/>
    <d v="2023-09-20T00:00:00"/>
    <d v="1899-12-30T17:29:00"/>
    <n v="4"/>
    <x v="0"/>
    <x v="7"/>
    <x v="2"/>
    <n v="1"/>
    <n v="500"/>
    <n v="150"/>
    <n v="500"/>
    <x v="1"/>
    <n v="9"/>
    <x v="9"/>
    <n v="20"/>
    <x v="4"/>
    <x v="1"/>
    <n v="350"/>
    <n v="0.7"/>
    <n v="1"/>
  </r>
  <r>
    <n v="94"/>
    <d v="2023-03-13T00:00:00"/>
    <d v="1899-12-30T22:39:00"/>
    <n v="5"/>
    <x v="1"/>
    <x v="35"/>
    <x v="1"/>
    <n v="2"/>
    <n v="500"/>
    <n v="250"/>
    <n v="1000"/>
    <x v="1"/>
    <n v="3"/>
    <x v="8"/>
    <n v="13"/>
    <x v="1"/>
    <x v="2"/>
    <n v="750"/>
    <n v="0.75"/>
    <n v="1"/>
  </r>
  <r>
    <n v="811"/>
    <d v="2023-04-15T00:00:00"/>
    <d v="1899-12-30T18:34:00"/>
    <n v="2"/>
    <x v="0"/>
    <x v="45"/>
    <x v="1"/>
    <n v="2"/>
    <n v="25"/>
    <n v="6.75"/>
    <n v="50"/>
    <x v="1"/>
    <n v="4"/>
    <x v="6"/>
    <n v="15"/>
    <x v="0"/>
    <x v="3"/>
    <n v="43.25"/>
    <n v="0.86499999999999999"/>
    <n v="0"/>
  </r>
  <r>
    <n v="881"/>
    <d v="2023-12-21T00:00:00"/>
    <d v="1899-12-30T20:52:00"/>
    <n v="4"/>
    <x v="0"/>
    <x v="30"/>
    <x v="2"/>
    <n v="1"/>
    <n v="300"/>
    <n v="99"/>
    <n v="300"/>
    <x v="1"/>
    <n v="12"/>
    <x v="2"/>
    <n v="21"/>
    <x v="2"/>
    <x v="0"/>
    <n v="201"/>
    <n v="0.67"/>
    <n v="1"/>
  </r>
  <r>
    <n v="1094"/>
    <d v="2023-06-15T00:00:00"/>
    <d v="1899-12-30T20:34:00"/>
    <n v="1"/>
    <x v="1"/>
    <x v="35"/>
    <x v="1"/>
    <n v="2"/>
    <n v="500"/>
    <n v="210"/>
    <n v="1000"/>
    <x v="1"/>
    <n v="6"/>
    <x v="11"/>
    <n v="15"/>
    <x v="2"/>
    <x v="3"/>
    <n v="790"/>
    <n v="0.79"/>
    <n v="1"/>
  </r>
  <r>
    <n v="1811"/>
    <d v="2023-12-09T00:00:00"/>
    <d v="1899-12-30T21:58:00"/>
    <n v="5"/>
    <x v="0"/>
    <x v="45"/>
    <x v="1"/>
    <n v="2"/>
    <n v="25"/>
    <n v="8.5"/>
    <n v="50"/>
    <x v="1"/>
    <n v="12"/>
    <x v="2"/>
    <n v="9"/>
    <x v="0"/>
    <x v="0"/>
    <n v="41.5"/>
    <n v="0.83"/>
    <n v="0"/>
  </r>
  <r>
    <n v="1881"/>
    <d v="2023-07-11T00:00:00"/>
    <d v="1899-12-30T17:23:00"/>
    <n v="5"/>
    <x v="0"/>
    <x v="30"/>
    <x v="2"/>
    <n v="1"/>
    <n v="300"/>
    <n v="147"/>
    <n v="300"/>
    <x v="1"/>
    <n v="7"/>
    <x v="1"/>
    <n v="11"/>
    <x v="6"/>
    <x v="1"/>
    <n v="153"/>
    <n v="0.51"/>
    <n v="1"/>
  </r>
  <r>
    <n v="403"/>
    <d v="2023-04-22T00:00:00"/>
    <d v="1899-12-30T19:31:00"/>
    <n v="5"/>
    <x v="0"/>
    <x v="37"/>
    <x v="0"/>
    <n v="2"/>
    <n v="300"/>
    <n v="78"/>
    <n v="600"/>
    <x v="1"/>
    <n v="4"/>
    <x v="6"/>
    <n v="22"/>
    <x v="0"/>
    <x v="3"/>
    <n v="522"/>
    <n v="0.87"/>
    <n v="1"/>
  </r>
  <r>
    <n v="653"/>
    <d v="2023-11-25T00:00:00"/>
    <d v="1899-12-30T22:53:00"/>
    <n v="3"/>
    <x v="0"/>
    <x v="29"/>
    <x v="0"/>
    <n v="3"/>
    <n v="25"/>
    <n v="9.25"/>
    <n v="75"/>
    <x v="1"/>
    <n v="11"/>
    <x v="0"/>
    <n v="25"/>
    <x v="0"/>
    <x v="0"/>
    <n v="65.75"/>
    <n v="0.87666666699999996"/>
    <n v="0"/>
  </r>
  <r>
    <n v="694"/>
    <d v="2023-06-30T00:00:00"/>
    <d v="1899-12-30T17:47:00"/>
    <n v="3"/>
    <x v="1"/>
    <x v="27"/>
    <x v="2"/>
    <n v="2"/>
    <n v="25"/>
    <n v="10"/>
    <n v="50"/>
    <x v="1"/>
    <n v="6"/>
    <x v="11"/>
    <n v="30"/>
    <x v="3"/>
    <x v="3"/>
    <n v="40"/>
    <n v="0.8"/>
    <n v="0"/>
  </r>
  <r>
    <n v="1403"/>
    <d v="2023-03-25T00:00:00"/>
    <d v="1899-12-30T18:20:00"/>
    <n v="4"/>
    <x v="0"/>
    <x v="37"/>
    <x v="0"/>
    <n v="2"/>
    <n v="300"/>
    <n v="162"/>
    <n v="600"/>
    <x v="1"/>
    <n v="3"/>
    <x v="8"/>
    <n v="25"/>
    <x v="0"/>
    <x v="2"/>
    <n v="438"/>
    <n v="0.73"/>
    <n v="1"/>
  </r>
  <r>
    <n v="1653"/>
    <d v="2023-07-23T00:00:00"/>
    <d v="1899-12-30T19:34:00"/>
    <n v="2"/>
    <x v="0"/>
    <x v="29"/>
    <x v="0"/>
    <n v="3"/>
    <n v="25"/>
    <n v="12.75"/>
    <n v="75"/>
    <x v="1"/>
    <n v="7"/>
    <x v="1"/>
    <n v="23"/>
    <x v="5"/>
    <x v="1"/>
    <n v="62.25"/>
    <n v="0.83"/>
    <n v="0"/>
  </r>
  <r>
    <n v="1694"/>
    <d v="2023-01-10T00:00:00"/>
    <d v="1899-12-30T19:22:00"/>
    <n v="4"/>
    <x v="1"/>
    <x v="27"/>
    <x v="2"/>
    <n v="2"/>
    <n v="25"/>
    <n v="9.75"/>
    <n v="50"/>
    <x v="1"/>
    <n v="1"/>
    <x v="3"/>
    <n v="10"/>
    <x v="6"/>
    <x v="2"/>
    <n v="40.25"/>
    <n v="0.80500000000000005"/>
    <n v="0"/>
  </r>
  <r>
    <n v="4"/>
    <d v="2023-08-27T00:00:00"/>
    <d v="1899-12-30T18:12:00"/>
    <n v="3"/>
    <x v="0"/>
    <x v="5"/>
    <x v="0"/>
    <n v="1"/>
    <n v="500"/>
    <n v="200"/>
    <n v="500"/>
    <x v="1"/>
    <n v="8"/>
    <x v="4"/>
    <n v="27"/>
    <x v="5"/>
    <x v="1"/>
    <n v="300"/>
    <n v="0.6"/>
    <n v="1"/>
  </r>
  <r>
    <n v="647"/>
    <d v="2023-03-01T00:00:00"/>
    <d v="1899-12-30T19:53:00"/>
    <n v="5"/>
    <x v="0"/>
    <x v="26"/>
    <x v="0"/>
    <n v="3"/>
    <n v="500"/>
    <n v="190"/>
    <n v="1500"/>
    <x v="1"/>
    <n v="3"/>
    <x v="8"/>
    <n v="1"/>
    <x v="4"/>
    <x v="2"/>
    <n v="1310"/>
    <n v="0.87333333300000004"/>
    <n v="1"/>
  </r>
  <r>
    <n v="911"/>
    <d v="2023-07-15T00:00:00"/>
    <d v="1899-12-30T17:29:00"/>
    <n v="3"/>
    <x v="0"/>
    <x v="25"/>
    <x v="2"/>
    <n v="3"/>
    <n v="300"/>
    <n v="84"/>
    <n v="900"/>
    <x v="1"/>
    <n v="7"/>
    <x v="1"/>
    <n v="15"/>
    <x v="0"/>
    <x v="1"/>
    <n v="816"/>
    <n v="0.90666666699999998"/>
    <n v="1"/>
  </r>
  <r>
    <n v="1004"/>
    <d v="2023-01-11T00:00:00"/>
    <d v="1899-12-30T21:46:00"/>
    <n v="2"/>
    <x v="0"/>
    <x v="5"/>
    <x v="0"/>
    <n v="1"/>
    <n v="500"/>
    <n v="230"/>
    <n v="500"/>
    <x v="1"/>
    <n v="1"/>
    <x v="3"/>
    <n v="11"/>
    <x v="4"/>
    <x v="2"/>
    <n v="270"/>
    <n v="0.54"/>
    <n v="1"/>
  </r>
  <r>
    <n v="1647"/>
    <d v="2023-05-01T00:00:00"/>
    <d v="1899-12-30T20:26:00"/>
    <n v="5"/>
    <x v="0"/>
    <x v="26"/>
    <x v="0"/>
    <n v="3"/>
    <n v="500"/>
    <n v="240"/>
    <n v="1500"/>
    <x v="1"/>
    <n v="5"/>
    <x v="7"/>
    <n v="1"/>
    <x v="1"/>
    <x v="3"/>
    <n v="1260"/>
    <n v="0.84"/>
    <n v="1"/>
  </r>
  <r>
    <n v="1911"/>
    <d v="2023-12-13T00:00:00"/>
    <d v="1899-12-30T18:33:00"/>
    <n v="4"/>
    <x v="0"/>
    <x v="25"/>
    <x v="2"/>
    <n v="3"/>
    <n v="300"/>
    <n v="75"/>
    <n v="900"/>
    <x v="1"/>
    <n v="12"/>
    <x v="2"/>
    <n v="13"/>
    <x v="4"/>
    <x v="0"/>
    <n v="825"/>
    <n v="0.91666666699999999"/>
    <n v="1"/>
  </r>
  <r>
    <n v="419"/>
    <d v="2023-03-31T00:00:00"/>
    <d v="1899-12-30T19:18:00"/>
    <n v="5"/>
    <x v="1"/>
    <x v="47"/>
    <x v="0"/>
    <n v="3"/>
    <n v="30"/>
    <n v="11.7"/>
    <n v="90"/>
    <x v="1"/>
    <n v="3"/>
    <x v="8"/>
    <n v="31"/>
    <x v="3"/>
    <x v="2"/>
    <n v="78.3"/>
    <n v="0.87"/>
    <n v="0"/>
  </r>
  <r>
    <n v="642"/>
    <d v="2023-05-04T00:00:00"/>
    <d v="1899-12-30T21:40:00"/>
    <n v="1"/>
    <x v="1"/>
    <x v="29"/>
    <x v="0"/>
    <n v="4"/>
    <n v="25"/>
    <n v="12"/>
    <n v="100"/>
    <x v="1"/>
    <n v="5"/>
    <x v="7"/>
    <n v="4"/>
    <x v="2"/>
    <x v="3"/>
    <n v="88"/>
    <n v="0.88"/>
    <n v="0"/>
  </r>
  <r>
    <n v="843"/>
    <d v="2023-01-25T00:00:00"/>
    <d v="1899-12-30T22:46:00"/>
    <n v="3"/>
    <x v="0"/>
    <x v="40"/>
    <x v="1"/>
    <n v="3"/>
    <n v="500"/>
    <n v="180"/>
    <n v="1500"/>
    <x v="1"/>
    <n v="1"/>
    <x v="3"/>
    <n v="25"/>
    <x v="4"/>
    <x v="2"/>
    <n v="1320"/>
    <n v="0.88"/>
    <n v="1"/>
  </r>
  <r>
    <n v="895"/>
    <d v="2023-08-31T00:00:00"/>
    <d v="1899-12-30T21:51:00"/>
    <n v="3"/>
    <x v="1"/>
    <x v="46"/>
    <x v="0"/>
    <n v="4"/>
    <n v="30"/>
    <n v="14.4"/>
    <n v="120"/>
    <x v="1"/>
    <n v="8"/>
    <x v="4"/>
    <n v="31"/>
    <x v="2"/>
    <x v="1"/>
    <n v="105.6"/>
    <n v="0.88"/>
    <n v="0"/>
  </r>
  <r>
    <n v="1419"/>
    <d v="2023-02-05T00:00:00"/>
    <d v="1899-12-30T18:42:00"/>
    <n v="3"/>
    <x v="1"/>
    <x v="47"/>
    <x v="0"/>
    <n v="3"/>
    <n v="30"/>
    <n v="9.3000000000000007"/>
    <n v="90"/>
    <x v="1"/>
    <n v="2"/>
    <x v="10"/>
    <n v="5"/>
    <x v="5"/>
    <x v="2"/>
    <n v="80.7"/>
    <n v="0.89666666699999997"/>
    <n v="0"/>
  </r>
  <r>
    <n v="1642"/>
    <d v="2023-12-27T00:00:00"/>
    <d v="1899-12-30T18:30:00"/>
    <n v="4"/>
    <x v="1"/>
    <x v="29"/>
    <x v="0"/>
    <n v="4"/>
    <n v="25"/>
    <n v="11.5"/>
    <n v="100"/>
    <x v="1"/>
    <n v="12"/>
    <x v="2"/>
    <n v="27"/>
    <x v="4"/>
    <x v="0"/>
    <n v="88.5"/>
    <n v="0.88500000000000001"/>
    <n v="0"/>
  </r>
  <r>
    <n v="1843"/>
    <d v="2023-09-21T00:00:00"/>
    <d v="1899-12-30T18:58:00"/>
    <n v="1"/>
    <x v="0"/>
    <x v="40"/>
    <x v="1"/>
    <n v="3"/>
    <n v="500"/>
    <n v="240"/>
    <n v="1500"/>
    <x v="1"/>
    <n v="9"/>
    <x v="9"/>
    <n v="21"/>
    <x v="2"/>
    <x v="1"/>
    <n v="1260"/>
    <n v="0.84"/>
    <n v="1"/>
  </r>
  <r>
    <n v="1895"/>
    <d v="2023-03-27T00:00:00"/>
    <d v="1899-12-30T20:59:00"/>
    <n v="4"/>
    <x v="1"/>
    <x v="46"/>
    <x v="0"/>
    <n v="4"/>
    <n v="30"/>
    <n v="15.3"/>
    <n v="120"/>
    <x v="1"/>
    <n v="3"/>
    <x v="8"/>
    <n v="27"/>
    <x v="1"/>
    <x v="2"/>
    <n v="104.7"/>
    <n v="0.87250000000000005"/>
    <n v="0"/>
  </r>
  <r>
    <n v="31"/>
    <d v="2023-12-31T00:00:00"/>
    <d v="1899-12-30T17:47:00"/>
    <n v="3"/>
    <x v="0"/>
    <x v="47"/>
    <x v="2"/>
    <n v="4"/>
    <n v="300"/>
    <n v="129"/>
    <n v="1200"/>
    <x v="1"/>
    <n v="12"/>
    <x v="2"/>
    <n v="31"/>
    <x v="5"/>
    <x v="0"/>
    <n v="1071"/>
    <n v="0.89249999999999996"/>
    <n v="1"/>
  </r>
  <r>
    <n v="37"/>
    <d v="2023-05-26T00:00:00"/>
    <d v="1899-12-30T22:42:00"/>
    <n v="2"/>
    <x v="1"/>
    <x v="18"/>
    <x v="1"/>
    <n v="3"/>
    <n v="25"/>
    <n v="8.75"/>
    <n v="75"/>
    <x v="1"/>
    <n v="5"/>
    <x v="7"/>
    <n v="26"/>
    <x v="3"/>
    <x v="3"/>
    <n v="66.25"/>
    <n v="0.88333333300000005"/>
    <n v="0"/>
  </r>
  <r>
    <n v="72"/>
    <d v="2023-12-06T00:00:00"/>
    <d v="1899-12-30T19:19:00"/>
    <n v="5"/>
    <x v="1"/>
    <x v="36"/>
    <x v="2"/>
    <n v="4"/>
    <n v="500"/>
    <n v="195"/>
    <n v="2000"/>
    <x v="1"/>
    <n v="12"/>
    <x v="2"/>
    <n v="6"/>
    <x v="4"/>
    <x v="0"/>
    <n v="1805"/>
    <n v="0.90249999999999997"/>
    <n v="1"/>
  </r>
  <r>
    <n v="243"/>
    <d v="2023-06-24T00:00:00"/>
    <d v="1899-12-30T18:02:00"/>
    <n v="5"/>
    <x v="1"/>
    <x v="35"/>
    <x v="2"/>
    <n v="3"/>
    <n v="300"/>
    <n v="156"/>
    <n v="900"/>
    <x v="1"/>
    <n v="6"/>
    <x v="11"/>
    <n v="24"/>
    <x v="0"/>
    <x v="3"/>
    <n v="744"/>
    <n v="0.82666666700000002"/>
    <n v="1"/>
  </r>
  <r>
    <n v="281"/>
    <d v="2023-09-18T00:00:00"/>
    <d v="1899-12-30T20:09:00"/>
    <n v="4"/>
    <x v="1"/>
    <x v="33"/>
    <x v="1"/>
    <n v="4"/>
    <n v="500"/>
    <n v="275"/>
    <n v="2000"/>
    <x v="1"/>
    <n v="9"/>
    <x v="9"/>
    <n v="18"/>
    <x v="1"/>
    <x v="1"/>
    <n v="1725"/>
    <n v="0.86250000000000004"/>
    <n v="1"/>
  </r>
  <r>
    <n v="489"/>
    <d v="2023-10-31T00:00:00"/>
    <d v="1899-12-30T22:01:00"/>
    <n v="1"/>
    <x v="0"/>
    <x v="47"/>
    <x v="2"/>
    <n v="1"/>
    <n v="30"/>
    <n v="14.4"/>
    <n v="30"/>
    <x v="1"/>
    <n v="10"/>
    <x v="5"/>
    <n v="31"/>
    <x v="6"/>
    <x v="0"/>
    <n v="15.6"/>
    <n v="0.52"/>
    <n v="0"/>
  </r>
  <r>
    <n v="491"/>
    <d v="2023-12-30T00:00:00"/>
    <d v="1899-12-30T21:11:00"/>
    <n v="4"/>
    <x v="1"/>
    <x v="13"/>
    <x v="2"/>
    <n v="3"/>
    <n v="300"/>
    <n v="78"/>
    <n v="900"/>
    <x v="1"/>
    <n v="12"/>
    <x v="2"/>
    <n v="30"/>
    <x v="0"/>
    <x v="0"/>
    <n v="822"/>
    <n v="0.91333333299999997"/>
    <n v="1"/>
  </r>
  <r>
    <n v="729"/>
    <d v="2023-08-26T00:00:00"/>
    <d v="1899-12-30T22:29:00"/>
    <n v="3"/>
    <x v="0"/>
    <x v="33"/>
    <x v="0"/>
    <n v="4"/>
    <n v="300"/>
    <n v="84"/>
    <n v="1200"/>
    <x v="1"/>
    <n v="8"/>
    <x v="4"/>
    <n v="26"/>
    <x v="0"/>
    <x v="1"/>
    <n v="1116"/>
    <n v="0.93"/>
    <n v="1"/>
  </r>
  <r>
    <n v="822"/>
    <d v="2023-02-16T00:00:00"/>
    <d v="1899-12-30T17:39:00"/>
    <n v="3"/>
    <x v="1"/>
    <x v="41"/>
    <x v="1"/>
    <n v="3"/>
    <n v="50"/>
    <n v="13.5"/>
    <n v="150"/>
    <x v="1"/>
    <n v="2"/>
    <x v="10"/>
    <n v="16"/>
    <x v="2"/>
    <x v="2"/>
    <n v="136.5"/>
    <n v="0.91"/>
    <n v="1"/>
  </r>
  <r>
    <n v="1031"/>
    <d v="2023-11-12T00:00:00"/>
    <d v="1899-12-30T21:15:00"/>
    <n v="3"/>
    <x v="0"/>
    <x v="47"/>
    <x v="2"/>
    <n v="4"/>
    <n v="300"/>
    <n v="126"/>
    <n v="1200"/>
    <x v="1"/>
    <n v="11"/>
    <x v="0"/>
    <n v="12"/>
    <x v="5"/>
    <x v="0"/>
    <n v="1074"/>
    <n v="0.89500000000000002"/>
    <n v="1"/>
  </r>
  <r>
    <n v="1037"/>
    <d v="2023-10-17T00:00:00"/>
    <d v="1899-12-30T17:38:00"/>
    <n v="2"/>
    <x v="1"/>
    <x v="18"/>
    <x v="1"/>
    <n v="3"/>
    <n v="25"/>
    <n v="11.5"/>
    <n v="75"/>
    <x v="1"/>
    <n v="10"/>
    <x v="5"/>
    <n v="17"/>
    <x v="6"/>
    <x v="0"/>
    <n v="63.5"/>
    <n v="0.84666666700000004"/>
    <n v="0"/>
  </r>
  <r>
    <n v="1072"/>
    <d v="2023-02-24T00:00:00"/>
    <d v="1899-12-30T18:10:00"/>
    <n v="4"/>
    <x v="1"/>
    <x v="36"/>
    <x v="2"/>
    <n v="4"/>
    <n v="500"/>
    <n v="180"/>
    <n v="2000"/>
    <x v="1"/>
    <n v="2"/>
    <x v="10"/>
    <n v="24"/>
    <x v="3"/>
    <x v="2"/>
    <n v="1820"/>
    <n v="0.91"/>
    <n v="1"/>
  </r>
  <r>
    <n v="1243"/>
    <d v="2023-12-08T00:00:00"/>
    <d v="1899-12-30T17:11:00"/>
    <n v="4"/>
    <x v="1"/>
    <x v="35"/>
    <x v="2"/>
    <n v="3"/>
    <n v="300"/>
    <n v="138"/>
    <n v="900"/>
    <x v="1"/>
    <n v="12"/>
    <x v="2"/>
    <n v="8"/>
    <x v="3"/>
    <x v="0"/>
    <n v="762"/>
    <n v="0.84666666700000004"/>
    <n v="1"/>
  </r>
  <r>
    <n v="1281"/>
    <d v="2023-03-14T00:00:00"/>
    <d v="1899-12-30T19:34:00"/>
    <n v="4"/>
    <x v="1"/>
    <x v="33"/>
    <x v="1"/>
    <n v="4"/>
    <n v="500"/>
    <n v="165"/>
    <n v="2000"/>
    <x v="1"/>
    <n v="3"/>
    <x v="8"/>
    <n v="14"/>
    <x v="6"/>
    <x v="2"/>
    <n v="1835"/>
    <n v="0.91749999999999998"/>
    <n v="1"/>
  </r>
  <r>
    <n v="1489"/>
    <d v="2023-04-28T00:00:00"/>
    <d v="1899-12-30T18:30:00"/>
    <n v="2"/>
    <x v="0"/>
    <x v="47"/>
    <x v="2"/>
    <n v="1"/>
    <n v="30"/>
    <n v="10.5"/>
    <n v="30"/>
    <x v="1"/>
    <n v="4"/>
    <x v="6"/>
    <n v="28"/>
    <x v="3"/>
    <x v="3"/>
    <n v="19.5"/>
    <n v="0.65"/>
    <n v="0"/>
  </r>
  <r>
    <n v="1491"/>
    <d v="2023-05-26T00:00:00"/>
    <d v="1899-12-30T22:14:00"/>
    <n v="107"/>
    <x v="1"/>
    <x v="13"/>
    <x v="2"/>
    <n v="3"/>
    <n v="300"/>
    <n v="129"/>
    <n v="900"/>
    <x v="1"/>
    <n v="5"/>
    <x v="7"/>
    <n v="26"/>
    <x v="3"/>
    <x v="3"/>
    <n v="771"/>
    <n v="0.85666666700000005"/>
    <n v="1"/>
  </r>
  <r>
    <n v="1729"/>
    <d v="2023-11-22T00:00:00"/>
    <d v="1899-12-30T18:55:00"/>
    <n v="82"/>
    <x v="0"/>
    <x v="33"/>
    <x v="0"/>
    <n v="4"/>
    <n v="300"/>
    <n v="81"/>
    <n v="1200"/>
    <x v="1"/>
    <n v="11"/>
    <x v="0"/>
    <n v="22"/>
    <x v="4"/>
    <x v="0"/>
    <n v="1119"/>
    <n v="0.9325"/>
    <n v="1"/>
  </r>
  <r>
    <n v="1822"/>
    <d v="2023-09-09T00:00:00"/>
    <d v="1899-12-30T17:15:00"/>
    <n v="15"/>
    <x v="1"/>
    <x v="41"/>
    <x v="1"/>
    <n v="3"/>
    <n v="50"/>
    <n v="21"/>
    <n v="150"/>
    <x v="1"/>
    <n v="9"/>
    <x v="9"/>
    <n v="9"/>
    <x v="0"/>
    <x v="1"/>
    <n v="129"/>
    <n v="0.86"/>
    <n v="1"/>
  </r>
  <r>
    <n v="840"/>
    <d v="2023-07-01T00:00:00"/>
    <d v="1899-12-30T18:59:00"/>
    <n v="60"/>
    <x v="0"/>
    <x v="44"/>
    <x v="0"/>
    <n v="2"/>
    <n v="25"/>
    <n v="11.75"/>
    <n v="50"/>
    <x v="1"/>
    <n v="7"/>
    <x v="1"/>
    <n v="1"/>
    <x v="0"/>
    <x v="1"/>
    <n v="38.25"/>
    <n v="0.76500000000000001"/>
    <n v="0"/>
  </r>
  <r>
    <n v="1840"/>
    <d v="2023-05-12T00:00:00"/>
    <d v="1899-12-30T20:22:00"/>
    <n v="138"/>
    <x v="0"/>
    <x v="44"/>
    <x v="0"/>
    <n v="2"/>
    <n v="25"/>
    <n v="11"/>
    <n v="50"/>
    <x v="1"/>
    <n v="5"/>
    <x v="7"/>
    <n v="12"/>
    <x v="3"/>
    <x v="3"/>
    <n v="39"/>
    <n v="0.78"/>
    <n v="0"/>
  </r>
  <r>
    <n v="404"/>
    <d v="2023-02-13T00:00:00"/>
    <d v="1899-12-30T19:55:00"/>
    <n v="59"/>
    <x v="0"/>
    <x v="1"/>
    <x v="2"/>
    <n v="2"/>
    <n v="500"/>
    <n v="160"/>
    <n v="1000"/>
    <x v="1"/>
    <n v="2"/>
    <x v="10"/>
    <n v="13"/>
    <x v="1"/>
    <x v="2"/>
    <n v="840"/>
    <n v="0.84"/>
    <n v="1"/>
  </r>
  <r>
    <n v="899"/>
    <d v="2023-05-22T00:00:00"/>
    <d v="1899-12-30T21:34:00"/>
    <n v="147"/>
    <x v="0"/>
    <x v="6"/>
    <x v="0"/>
    <n v="2"/>
    <n v="300"/>
    <n v="153"/>
    <n v="600"/>
    <x v="1"/>
    <n v="5"/>
    <x v="7"/>
    <n v="22"/>
    <x v="1"/>
    <x v="3"/>
    <n v="447"/>
    <n v="0.745"/>
    <n v="1"/>
  </r>
  <r>
    <n v="990"/>
    <d v="2023-03-29T00:00:00"/>
    <d v="1899-12-30T21:45:00"/>
    <n v="68"/>
    <x v="1"/>
    <x v="43"/>
    <x v="1"/>
    <n v="2"/>
    <n v="500"/>
    <n v="235"/>
    <n v="1000"/>
    <x v="1"/>
    <n v="3"/>
    <x v="8"/>
    <n v="29"/>
    <x v="4"/>
    <x v="2"/>
    <n v="765"/>
    <n v="0.76500000000000001"/>
    <n v="1"/>
  </r>
  <r>
    <n v="1404"/>
    <d v="2023-08-20T00:00:00"/>
    <d v="1899-12-30T18:15:00"/>
    <n v="155"/>
    <x v="0"/>
    <x v="1"/>
    <x v="2"/>
    <n v="2"/>
    <n v="500"/>
    <n v="185"/>
    <n v="1000"/>
    <x v="1"/>
    <n v="8"/>
    <x v="4"/>
    <n v="20"/>
    <x v="5"/>
    <x v="1"/>
    <n v="815"/>
    <n v="0.81499999999999995"/>
    <n v="1"/>
  </r>
  <r>
    <n v="1899"/>
    <d v="2023-05-03T00:00:00"/>
    <d v="1899-12-30T21:03:00"/>
    <n v="51"/>
    <x v="0"/>
    <x v="6"/>
    <x v="0"/>
    <n v="2"/>
    <n v="300"/>
    <n v="99"/>
    <n v="600"/>
    <x v="1"/>
    <n v="5"/>
    <x v="7"/>
    <n v="3"/>
    <x v="4"/>
    <x v="3"/>
    <n v="501"/>
    <n v="0.83499999999999996"/>
    <n v="1"/>
  </r>
  <r>
    <n v="1990"/>
    <d v="2023-11-22T00:00:00"/>
    <d v="1899-12-30T17:02:00"/>
    <n v="48"/>
    <x v="1"/>
    <x v="43"/>
    <x v="1"/>
    <n v="2"/>
    <n v="500"/>
    <n v="155"/>
    <n v="1000"/>
    <x v="1"/>
    <n v="11"/>
    <x v="0"/>
    <n v="22"/>
    <x v="4"/>
    <x v="0"/>
    <n v="845"/>
    <n v="0.84499999999999997"/>
    <n v="1"/>
  </r>
  <r>
    <n v="382"/>
    <d v="2023-07-14T00:00:00"/>
    <d v="1899-12-30T21:20:00"/>
    <n v="29"/>
    <x v="1"/>
    <x v="21"/>
    <x v="0"/>
    <n v="2"/>
    <n v="500"/>
    <n v="245"/>
    <n v="1000"/>
    <x v="1"/>
    <n v="7"/>
    <x v="1"/>
    <n v="14"/>
    <x v="3"/>
    <x v="1"/>
    <n v="755"/>
    <n v="0.755"/>
    <n v="1"/>
  </r>
  <r>
    <n v="578"/>
    <d v="2023-12-05T00:00:00"/>
    <d v="1899-12-30T22:42:00"/>
    <n v="68"/>
    <x v="1"/>
    <x v="29"/>
    <x v="0"/>
    <n v="4"/>
    <n v="30"/>
    <n v="9.3000000000000007"/>
    <n v="120"/>
    <x v="1"/>
    <n v="12"/>
    <x v="2"/>
    <n v="5"/>
    <x v="6"/>
    <x v="0"/>
    <n v="110.7"/>
    <n v="0.92249999999999999"/>
    <n v="0"/>
  </r>
  <r>
    <n v="923"/>
    <d v="2023-06-10T00:00:00"/>
    <d v="1899-12-30T17:20:00"/>
    <n v="62"/>
    <x v="0"/>
    <x v="37"/>
    <x v="1"/>
    <n v="3"/>
    <n v="300"/>
    <n v="165"/>
    <n v="900"/>
    <x v="1"/>
    <n v="6"/>
    <x v="11"/>
    <n v="10"/>
    <x v="0"/>
    <x v="3"/>
    <n v="735"/>
    <n v="0.81666666700000001"/>
    <n v="1"/>
  </r>
  <r>
    <n v="1382"/>
    <d v="2023-05-20T00:00:00"/>
    <d v="1899-12-30T18:13:00"/>
    <n v="139"/>
    <x v="1"/>
    <x v="21"/>
    <x v="0"/>
    <n v="2"/>
    <n v="500"/>
    <n v="185"/>
    <n v="1000"/>
    <x v="1"/>
    <n v="5"/>
    <x v="7"/>
    <n v="20"/>
    <x v="0"/>
    <x v="3"/>
    <n v="815"/>
    <n v="0.81499999999999995"/>
    <n v="1"/>
  </r>
  <r>
    <n v="1578"/>
    <d v="2023-11-20T00:00:00"/>
    <d v="1899-12-30T18:43:00"/>
    <n v="66"/>
    <x v="1"/>
    <x v="29"/>
    <x v="0"/>
    <n v="4"/>
    <n v="30"/>
    <n v="12"/>
    <n v="120"/>
    <x v="1"/>
    <n v="11"/>
    <x v="0"/>
    <n v="20"/>
    <x v="1"/>
    <x v="0"/>
    <n v="108"/>
    <n v="0.9"/>
    <n v="0"/>
  </r>
  <r>
    <n v="1923"/>
    <d v="2022-04-03T00:00:00"/>
    <d v="1899-12-30T17:38:00"/>
    <n v="74"/>
    <x v="0"/>
    <x v="37"/>
    <x v="1"/>
    <n v="3"/>
    <n v="300"/>
    <n v="159"/>
    <n v="900"/>
    <x v="0"/>
    <n v="4"/>
    <x v="6"/>
    <n v="3"/>
    <x v="5"/>
    <x v="3"/>
    <n v="741"/>
    <n v="0.823333333"/>
    <n v="1"/>
  </r>
  <r>
    <n v="307"/>
    <d v="2022-11-11T00:00:00"/>
    <d v="1899-12-30T22:54:00"/>
    <n v="32"/>
    <x v="1"/>
    <x v="6"/>
    <x v="2"/>
    <n v="2"/>
    <n v="25"/>
    <n v="8.5"/>
    <n v="50"/>
    <x v="0"/>
    <n v="11"/>
    <x v="0"/>
    <n v="11"/>
    <x v="3"/>
    <x v="0"/>
    <n v="41.5"/>
    <n v="0.83"/>
    <n v="0"/>
  </r>
  <r>
    <n v="561"/>
    <d v="2022-07-29T00:00:00"/>
    <d v="1899-12-30T17:04:00"/>
    <n v="34"/>
    <x v="1"/>
    <x v="3"/>
    <x v="0"/>
    <n v="4"/>
    <n v="500"/>
    <n v="250"/>
    <n v="2000"/>
    <x v="0"/>
    <n v="7"/>
    <x v="1"/>
    <n v="29"/>
    <x v="3"/>
    <x v="1"/>
    <n v="1750"/>
    <n v="0.875"/>
    <n v="1"/>
  </r>
  <r>
    <n v="651"/>
    <d v="2023-09-28T00:00:00"/>
    <d v="1899-12-30T21:02:00"/>
    <n v="30"/>
    <x v="0"/>
    <x v="12"/>
    <x v="0"/>
    <n v="3"/>
    <n v="50"/>
    <n v="26"/>
    <n v="150"/>
    <x v="1"/>
    <n v="9"/>
    <x v="9"/>
    <n v="28"/>
    <x v="2"/>
    <x v="1"/>
    <n v="124"/>
    <n v="0.82666666700000002"/>
    <n v="1"/>
  </r>
  <r>
    <n v="1307"/>
    <d v="2022-01-29T00:00:00"/>
    <d v="1899-12-30T22:11:00"/>
    <n v="68"/>
    <x v="1"/>
    <x v="6"/>
    <x v="2"/>
    <n v="2"/>
    <n v="25"/>
    <n v="11.75"/>
    <n v="50"/>
    <x v="0"/>
    <n v="1"/>
    <x v="3"/>
    <n v="29"/>
    <x v="0"/>
    <x v="2"/>
    <n v="38.25"/>
    <n v="0.76500000000000001"/>
    <n v="0"/>
  </r>
  <r>
    <n v="1561"/>
    <d v="2023-09-17T00:00:00"/>
    <d v="1899-12-30T19:38:00"/>
    <n v="16"/>
    <x v="1"/>
    <x v="3"/>
    <x v="0"/>
    <n v="4"/>
    <n v="500"/>
    <n v="170"/>
    <n v="2000"/>
    <x v="1"/>
    <n v="9"/>
    <x v="9"/>
    <n v="17"/>
    <x v="5"/>
    <x v="1"/>
    <n v="1830"/>
    <n v="0.91500000000000004"/>
    <n v="1"/>
  </r>
  <r>
    <n v="1651"/>
    <d v="2022-12-04T00:00:00"/>
    <d v="1899-12-30T21:29:00"/>
    <n v="155"/>
    <x v="0"/>
    <x v="12"/>
    <x v="0"/>
    <n v="3"/>
    <n v="50"/>
    <n v="23.5"/>
    <n v="150"/>
    <x v="0"/>
    <n v="12"/>
    <x v="2"/>
    <n v="4"/>
    <x v="5"/>
    <x v="0"/>
    <n v="126.5"/>
    <n v="0.84333333300000002"/>
    <n v="1"/>
  </r>
  <r>
    <n v="988"/>
    <d v="2022-08-05T00:00:00"/>
    <d v="1899-12-30T18:41:00"/>
    <n v="85"/>
    <x v="1"/>
    <x v="15"/>
    <x v="0"/>
    <n v="3"/>
    <n v="25"/>
    <n v="8"/>
    <n v="75"/>
    <x v="0"/>
    <n v="8"/>
    <x v="4"/>
    <n v="5"/>
    <x v="3"/>
    <x v="1"/>
    <n v="67"/>
    <n v="0.89333333299999995"/>
    <n v="0"/>
  </r>
  <r>
    <n v="1988"/>
    <d v="2023-11-30T00:00:00"/>
    <d v="1899-12-30T18:47:00"/>
    <n v="144"/>
    <x v="1"/>
    <x v="15"/>
    <x v="0"/>
    <n v="3"/>
    <n v="25"/>
    <n v="7.25"/>
    <n v="75"/>
    <x v="1"/>
    <n v="11"/>
    <x v="0"/>
    <n v="30"/>
    <x v="2"/>
    <x v="0"/>
    <n v="67.75"/>
    <n v="0.90333333299999996"/>
    <n v="0"/>
  </r>
  <r>
    <n v="67"/>
    <d v="2023-08-19T00:00:00"/>
    <d v="1899-12-30T20:19:00"/>
    <n v="119"/>
    <x v="1"/>
    <x v="42"/>
    <x v="1"/>
    <n v="4"/>
    <n v="300"/>
    <n v="129"/>
    <n v="1200"/>
    <x v="1"/>
    <n v="8"/>
    <x v="4"/>
    <n v="19"/>
    <x v="0"/>
    <x v="1"/>
    <n v="1071"/>
    <n v="0.89249999999999996"/>
    <n v="1"/>
  </r>
  <r>
    <n v="1067"/>
    <d v="2023-10-03T00:00:00"/>
    <d v="1899-12-30T17:01:00"/>
    <n v="105"/>
    <x v="1"/>
    <x v="42"/>
    <x v="1"/>
    <n v="4"/>
    <n v="300"/>
    <n v="129"/>
    <n v="1200"/>
    <x v="1"/>
    <n v="10"/>
    <x v="5"/>
    <n v="3"/>
    <x v="6"/>
    <x v="0"/>
    <n v="1071"/>
    <n v="0.89249999999999996"/>
    <n v="1"/>
  </r>
  <r>
    <n v="915"/>
    <d v="2023-10-11T00:00:00"/>
    <d v="1899-12-30T19:06:00"/>
    <n v="95"/>
    <x v="1"/>
    <x v="6"/>
    <x v="1"/>
    <n v="3"/>
    <n v="30"/>
    <n v="12.9"/>
    <n v="90"/>
    <x v="1"/>
    <n v="10"/>
    <x v="5"/>
    <n v="11"/>
    <x v="4"/>
    <x v="0"/>
    <n v="77.099999999999994"/>
    <n v="0.85666666700000005"/>
    <n v="0"/>
  </r>
  <r>
    <n v="985"/>
    <d v="2023-06-13T00:00:00"/>
    <d v="1899-12-30T22:33:00"/>
    <n v="113"/>
    <x v="1"/>
    <x v="4"/>
    <x v="2"/>
    <n v="2"/>
    <n v="25"/>
    <n v="9"/>
    <n v="50"/>
    <x v="1"/>
    <n v="6"/>
    <x v="11"/>
    <n v="13"/>
    <x v="6"/>
    <x v="3"/>
    <n v="41"/>
    <n v="0.82"/>
    <n v="0"/>
  </r>
  <r>
    <n v="1915"/>
    <d v="2023-07-10T00:00:00"/>
    <d v="1899-12-30T22:50:00"/>
    <n v="53"/>
    <x v="1"/>
    <x v="6"/>
    <x v="1"/>
    <n v="3"/>
    <n v="30"/>
    <n v="9.3000000000000007"/>
    <n v="90"/>
    <x v="1"/>
    <n v="7"/>
    <x v="1"/>
    <n v="10"/>
    <x v="1"/>
    <x v="1"/>
    <n v="80.7"/>
    <n v="0.89666666699999997"/>
    <n v="0"/>
  </r>
  <r>
    <n v="1985"/>
    <d v="2023-03-31T00:00:00"/>
    <d v="1899-12-30T20:15:00"/>
    <n v="113"/>
    <x v="1"/>
    <x v="4"/>
    <x v="2"/>
    <n v="2"/>
    <n v="25"/>
    <n v="9.75"/>
    <n v="50"/>
    <x v="1"/>
    <n v="3"/>
    <x v="8"/>
    <n v="31"/>
    <x v="3"/>
    <x v="2"/>
    <n v="40.25"/>
    <n v="0.80500000000000005"/>
    <n v="0"/>
  </r>
  <r>
    <n v="56"/>
    <d v="2022-12-27T00:00:00"/>
    <d v="1899-12-30T19:37:00"/>
    <n v="97"/>
    <x v="1"/>
    <x v="6"/>
    <x v="0"/>
    <n v="3"/>
    <n v="300"/>
    <n v="120"/>
    <n v="900"/>
    <x v="0"/>
    <n v="12"/>
    <x v="2"/>
    <n v="27"/>
    <x v="6"/>
    <x v="0"/>
    <n v="780"/>
    <n v="0.86666666699999995"/>
    <n v="1"/>
  </r>
  <r>
    <n v="159"/>
    <d v="2022-11-10T00:00:00"/>
    <d v="1899-12-30T21:30:00"/>
    <n v="42"/>
    <x v="0"/>
    <x v="6"/>
    <x v="0"/>
    <n v="4"/>
    <n v="50"/>
    <n v="23.5"/>
    <n v="200"/>
    <x v="0"/>
    <n v="11"/>
    <x v="0"/>
    <n v="10"/>
    <x v="2"/>
    <x v="0"/>
    <n v="176.5"/>
    <n v="0.88249999999999995"/>
    <n v="1"/>
  </r>
  <r>
    <n v="862"/>
    <d v="2022-12-11T00:00:00"/>
    <d v="1899-12-30T21:37:00"/>
    <n v="29"/>
    <x v="0"/>
    <x v="32"/>
    <x v="2"/>
    <n v="4"/>
    <n v="300"/>
    <n v="78"/>
    <n v="1200"/>
    <x v="0"/>
    <n v="12"/>
    <x v="2"/>
    <n v="11"/>
    <x v="5"/>
    <x v="0"/>
    <n v="1122"/>
    <n v="0.93500000000000005"/>
    <n v="1"/>
  </r>
  <r>
    <n v="1056"/>
    <d v="2022-04-17T00:00:00"/>
    <d v="1899-12-30T19:46:00"/>
    <n v="54"/>
    <x v="1"/>
    <x v="6"/>
    <x v="0"/>
    <n v="3"/>
    <n v="300"/>
    <n v="114"/>
    <n v="900"/>
    <x v="0"/>
    <n v="4"/>
    <x v="6"/>
    <n v="17"/>
    <x v="5"/>
    <x v="3"/>
    <n v="786"/>
    <n v="0.87333333300000004"/>
    <n v="1"/>
  </r>
  <r>
    <n v="1159"/>
    <d v="2023-04-02T00:00:00"/>
    <d v="1899-12-30T18:08:00"/>
    <n v="41"/>
    <x v="0"/>
    <x v="6"/>
    <x v="0"/>
    <n v="4"/>
    <n v="50"/>
    <n v="18"/>
    <n v="200"/>
    <x v="1"/>
    <n v="4"/>
    <x v="6"/>
    <n v="2"/>
    <x v="5"/>
    <x v="3"/>
    <n v="182"/>
    <n v="0.91"/>
    <n v="1"/>
  </r>
  <r>
    <n v="1862"/>
    <d v="2022-02-06T00:00:00"/>
    <d v="1899-12-30T22:50:00"/>
    <n v="64"/>
    <x v="0"/>
    <x v="32"/>
    <x v="2"/>
    <n v="4"/>
    <n v="300"/>
    <n v="165"/>
    <n v="1200"/>
    <x v="0"/>
    <n v="2"/>
    <x v="10"/>
    <n v="6"/>
    <x v="5"/>
    <x v="2"/>
    <n v="1035"/>
    <n v="0.86250000000000004"/>
    <n v="1"/>
  </r>
  <r>
    <n v="315"/>
    <d v="2023-07-03T00:00:00"/>
    <d v="1899-12-30T18:53:00"/>
    <n v="122"/>
    <x v="0"/>
    <x v="35"/>
    <x v="0"/>
    <n v="2"/>
    <n v="30"/>
    <n v="15"/>
    <n v="60"/>
    <x v="1"/>
    <n v="7"/>
    <x v="1"/>
    <n v="3"/>
    <x v="1"/>
    <x v="1"/>
    <n v="45"/>
    <n v="0.75"/>
    <n v="0"/>
  </r>
  <r>
    <n v="545"/>
    <d v="2023-12-19T00:00:00"/>
    <d v="1899-12-30T17:18:00"/>
    <n v="61"/>
    <x v="0"/>
    <x v="17"/>
    <x v="0"/>
    <n v="2"/>
    <n v="25"/>
    <n v="8.25"/>
    <n v="50"/>
    <x v="1"/>
    <n v="12"/>
    <x v="2"/>
    <n v="19"/>
    <x v="6"/>
    <x v="0"/>
    <n v="41.75"/>
    <n v="0.83499999999999996"/>
    <n v="0"/>
  </r>
  <r>
    <n v="902"/>
    <d v="2022-02-14T00:00:00"/>
    <d v="1899-12-30T17:16:00"/>
    <n v="108"/>
    <x v="1"/>
    <x v="29"/>
    <x v="1"/>
    <n v="1"/>
    <n v="50"/>
    <n v="21.5"/>
    <n v="50"/>
    <x v="0"/>
    <n v="2"/>
    <x v="10"/>
    <n v="14"/>
    <x v="1"/>
    <x v="2"/>
    <n v="28.5"/>
    <n v="0.56999999999999995"/>
    <n v="0"/>
  </r>
  <r>
    <n v="1315"/>
    <d v="2022-08-31T00:00:00"/>
    <d v="1899-12-30T20:52:00"/>
    <n v="14"/>
    <x v="0"/>
    <x v="35"/>
    <x v="0"/>
    <n v="2"/>
    <n v="30"/>
    <n v="12.9"/>
    <n v="60"/>
    <x v="0"/>
    <n v="8"/>
    <x v="4"/>
    <n v="31"/>
    <x v="4"/>
    <x v="1"/>
    <n v="47.1"/>
    <n v="0.78500000000000003"/>
    <n v="0"/>
  </r>
  <r>
    <n v="1545"/>
    <d v="2023-07-15T00:00:00"/>
    <d v="1899-12-30T18:21:00"/>
    <n v="16"/>
    <x v="0"/>
    <x v="17"/>
    <x v="0"/>
    <n v="2"/>
    <n v="25"/>
    <n v="8.25"/>
    <n v="50"/>
    <x v="1"/>
    <n v="7"/>
    <x v="1"/>
    <n v="15"/>
    <x v="0"/>
    <x v="1"/>
    <n v="41.75"/>
    <n v="0.83499999999999996"/>
    <n v="0"/>
  </r>
  <r>
    <n v="1902"/>
    <d v="2022-12-21T00:00:00"/>
    <d v="1899-12-30T17:12:00"/>
    <n v="97"/>
    <x v="1"/>
    <x v="29"/>
    <x v="1"/>
    <n v="1"/>
    <n v="50"/>
    <n v="14"/>
    <n v="50"/>
    <x v="0"/>
    <n v="12"/>
    <x v="2"/>
    <n v="21"/>
    <x v="4"/>
    <x v="0"/>
    <n v="36"/>
    <n v="0.72"/>
    <n v="0"/>
  </r>
  <r>
    <n v="170"/>
    <d v="2023-09-21T00:00:00"/>
    <d v="1899-12-30T20:46:00"/>
    <n v="125"/>
    <x v="1"/>
    <x v="38"/>
    <x v="0"/>
    <n v="2"/>
    <n v="25"/>
    <n v="12.5"/>
    <n v="50"/>
    <x v="1"/>
    <n v="9"/>
    <x v="9"/>
    <n v="21"/>
    <x v="2"/>
    <x v="1"/>
    <n v="37.5"/>
    <n v="0.75"/>
    <n v="0"/>
  </r>
  <r>
    <n v="685"/>
    <d v="2023-07-04T00:00:00"/>
    <d v="1899-12-30T22:15:00"/>
    <n v="90"/>
    <x v="0"/>
    <x v="10"/>
    <x v="2"/>
    <n v="2"/>
    <n v="25"/>
    <n v="7.75"/>
    <n v="50"/>
    <x v="1"/>
    <n v="7"/>
    <x v="1"/>
    <n v="4"/>
    <x v="6"/>
    <x v="1"/>
    <n v="42.25"/>
    <n v="0.84499999999999997"/>
    <n v="0"/>
  </r>
  <r>
    <n v="958"/>
    <d v="2022-01-01T00:00:00"/>
    <d v="1899-12-30T21:14:00"/>
    <n v="116"/>
    <x v="0"/>
    <x v="44"/>
    <x v="2"/>
    <n v="2"/>
    <n v="25"/>
    <n v="11"/>
    <n v="50"/>
    <x v="0"/>
    <n v="1"/>
    <x v="3"/>
    <n v="1"/>
    <x v="0"/>
    <x v="2"/>
    <n v="39"/>
    <n v="0.78"/>
    <n v="0"/>
  </r>
  <r>
    <n v="1170"/>
    <d v="2023-01-06T00:00:00"/>
    <d v="1899-12-30T17:13:00"/>
    <n v="96"/>
    <x v="1"/>
    <x v="38"/>
    <x v="0"/>
    <n v="2"/>
    <n v="25"/>
    <n v="8"/>
    <n v="50"/>
    <x v="1"/>
    <n v="1"/>
    <x v="3"/>
    <n v="6"/>
    <x v="3"/>
    <x v="2"/>
    <n v="42"/>
    <n v="0.84"/>
    <n v="0"/>
  </r>
  <r>
    <n v="1685"/>
    <d v="2022-04-20T00:00:00"/>
    <d v="1899-12-30T20:32:00"/>
    <n v="76"/>
    <x v="0"/>
    <x v="10"/>
    <x v="2"/>
    <n v="2"/>
    <n v="25"/>
    <n v="8.75"/>
    <n v="50"/>
    <x v="0"/>
    <n v="4"/>
    <x v="6"/>
    <n v="20"/>
    <x v="4"/>
    <x v="3"/>
    <n v="41.25"/>
    <n v="0.82499999999999996"/>
    <n v="0"/>
  </r>
  <r>
    <n v="1958"/>
    <d v="2022-11-27T00:00:00"/>
    <d v="1899-12-30T19:19:00"/>
    <n v="125"/>
    <x v="0"/>
    <x v="44"/>
    <x v="2"/>
    <n v="2"/>
    <n v="25"/>
    <n v="11.75"/>
    <n v="50"/>
    <x v="0"/>
    <n v="11"/>
    <x v="0"/>
    <n v="27"/>
    <x v="5"/>
    <x v="0"/>
    <n v="38.25"/>
    <n v="0.76500000000000001"/>
    <n v="0"/>
  </r>
  <r>
    <n v="363"/>
    <d v="2022-05-23T00:00:00"/>
    <d v="1899-12-30T22:51:00"/>
    <n v="92"/>
    <x v="0"/>
    <x v="3"/>
    <x v="1"/>
    <n v="1"/>
    <n v="25"/>
    <n v="13.5"/>
    <n v="25"/>
    <x v="0"/>
    <n v="5"/>
    <x v="7"/>
    <n v="23"/>
    <x v="1"/>
    <x v="3"/>
    <n v="11.5"/>
    <n v="0.46"/>
    <n v="0"/>
  </r>
  <r>
    <n v="394"/>
    <d v="2022-08-19T00:00:00"/>
    <d v="1899-12-30T19:27:00"/>
    <n v="105"/>
    <x v="1"/>
    <x v="17"/>
    <x v="0"/>
    <n v="1"/>
    <n v="500"/>
    <n v="165"/>
    <n v="500"/>
    <x v="0"/>
    <n v="8"/>
    <x v="4"/>
    <n v="19"/>
    <x v="3"/>
    <x v="1"/>
    <n v="335"/>
    <n v="0.67"/>
    <n v="1"/>
  </r>
  <r>
    <n v="537"/>
    <d v="2023-10-01T00:00:00"/>
    <d v="1899-12-30T18:07:00"/>
    <n v="98"/>
    <x v="1"/>
    <x v="40"/>
    <x v="1"/>
    <n v="1"/>
    <n v="500"/>
    <n v="275"/>
    <n v="500"/>
    <x v="1"/>
    <n v="10"/>
    <x v="5"/>
    <n v="1"/>
    <x v="5"/>
    <x v="0"/>
    <n v="225"/>
    <n v="0.45"/>
    <n v="1"/>
  </r>
  <r>
    <n v="1363"/>
    <d v="2023-07-04T00:00:00"/>
    <d v="1899-12-30T20:27:00"/>
    <n v="33"/>
    <x v="0"/>
    <x v="3"/>
    <x v="1"/>
    <n v="1"/>
    <n v="25"/>
    <n v="7.75"/>
    <n v="25"/>
    <x v="1"/>
    <n v="7"/>
    <x v="1"/>
    <n v="4"/>
    <x v="6"/>
    <x v="1"/>
    <n v="17.25"/>
    <n v="0.69"/>
    <n v="0"/>
  </r>
  <r>
    <n v="1394"/>
    <d v="2022-04-17T00:00:00"/>
    <d v="1899-12-30T20:06:00"/>
    <n v="14"/>
    <x v="1"/>
    <x v="17"/>
    <x v="0"/>
    <n v="1"/>
    <n v="500"/>
    <n v="250"/>
    <n v="500"/>
    <x v="0"/>
    <n v="4"/>
    <x v="6"/>
    <n v="17"/>
    <x v="5"/>
    <x v="3"/>
    <n v="250"/>
    <n v="0.5"/>
    <n v="1"/>
  </r>
  <r>
    <n v="1537"/>
    <d v="2022-11-29T00:00:00"/>
    <d v="1899-12-30T17:57:00"/>
    <n v="116"/>
    <x v="1"/>
    <x v="40"/>
    <x v="1"/>
    <n v="1"/>
    <n v="500"/>
    <n v="140"/>
    <n v="500"/>
    <x v="0"/>
    <n v="11"/>
    <x v="0"/>
    <n v="29"/>
    <x v="6"/>
    <x v="0"/>
    <n v="360"/>
    <n v="0.72"/>
    <n v="1"/>
  </r>
  <r>
    <n v="387"/>
    <d v="2023-01-26T00:00:00"/>
    <d v="1899-12-30T21:58:00"/>
    <n v="118"/>
    <x v="0"/>
    <x v="47"/>
    <x v="1"/>
    <n v="1"/>
    <n v="30"/>
    <n v="9"/>
    <n v="30"/>
    <x v="1"/>
    <n v="1"/>
    <x v="3"/>
    <n v="26"/>
    <x v="2"/>
    <x v="2"/>
    <n v="21"/>
    <n v="0.7"/>
    <n v="0"/>
  </r>
  <r>
    <n v="556"/>
    <d v="2022-02-05T00:00:00"/>
    <d v="1899-12-30T17:37:00"/>
    <n v="42"/>
    <x v="1"/>
    <x v="18"/>
    <x v="2"/>
    <n v="1"/>
    <n v="50"/>
    <n v="12.5"/>
    <n v="50"/>
    <x v="0"/>
    <n v="2"/>
    <x v="10"/>
    <n v="5"/>
    <x v="0"/>
    <x v="2"/>
    <n v="37.5"/>
    <n v="0.75"/>
    <n v="0"/>
  </r>
  <r>
    <n v="782"/>
    <d v="2022-04-13T00:00:00"/>
    <d v="1899-12-30T21:51:00"/>
    <n v="71"/>
    <x v="0"/>
    <x v="26"/>
    <x v="0"/>
    <n v="3"/>
    <n v="300"/>
    <n v="150"/>
    <n v="900"/>
    <x v="0"/>
    <n v="4"/>
    <x v="6"/>
    <n v="13"/>
    <x v="4"/>
    <x v="3"/>
    <n v="750"/>
    <n v="0.83333333300000001"/>
    <n v="1"/>
  </r>
  <r>
    <n v="906"/>
    <d v="2022-07-19T00:00:00"/>
    <d v="1899-12-30T17:55:00"/>
    <n v="6"/>
    <x v="1"/>
    <x v="36"/>
    <x v="0"/>
    <n v="1"/>
    <n v="50"/>
    <n v="17"/>
    <n v="50"/>
    <x v="0"/>
    <n v="7"/>
    <x v="1"/>
    <n v="19"/>
    <x v="6"/>
    <x v="1"/>
    <n v="33"/>
    <n v="0.66"/>
    <n v="0"/>
  </r>
  <r>
    <n v="1387"/>
    <d v="2022-07-26T00:00:00"/>
    <d v="1899-12-30T17:48:00"/>
    <n v="37"/>
    <x v="0"/>
    <x v="47"/>
    <x v="1"/>
    <n v="1"/>
    <n v="30"/>
    <n v="15.6"/>
    <n v="30"/>
    <x v="0"/>
    <n v="7"/>
    <x v="1"/>
    <n v="26"/>
    <x v="6"/>
    <x v="1"/>
    <n v="14.4"/>
    <n v="0.48"/>
    <n v="0"/>
  </r>
  <r>
    <n v="1556"/>
    <d v="2023-05-17T00:00:00"/>
    <d v="1899-12-30T19:13:00"/>
    <n v="35"/>
    <x v="1"/>
    <x v="18"/>
    <x v="2"/>
    <n v="1"/>
    <n v="50"/>
    <n v="22.5"/>
    <n v="50"/>
    <x v="1"/>
    <n v="5"/>
    <x v="7"/>
    <n v="17"/>
    <x v="4"/>
    <x v="3"/>
    <n v="27.5"/>
    <n v="0.55000000000000004"/>
    <n v="0"/>
  </r>
  <r>
    <n v="1782"/>
    <d v="2023-04-07T00:00:00"/>
    <d v="1899-12-30T20:23:00"/>
    <n v="116"/>
    <x v="0"/>
    <x v="26"/>
    <x v="0"/>
    <n v="3"/>
    <n v="300"/>
    <n v="141"/>
    <n v="900"/>
    <x v="1"/>
    <n v="4"/>
    <x v="6"/>
    <n v="7"/>
    <x v="3"/>
    <x v="3"/>
    <n v="759"/>
    <n v="0.84333333300000002"/>
    <n v="1"/>
  </r>
  <r>
    <n v="1906"/>
    <d v="2022-10-01T00:00:00"/>
    <d v="1899-12-30T20:10:00"/>
    <n v="58"/>
    <x v="1"/>
    <x v="36"/>
    <x v="0"/>
    <n v="1"/>
    <n v="50"/>
    <n v="26.5"/>
    <n v="50"/>
    <x v="0"/>
    <n v="10"/>
    <x v="5"/>
    <n v="1"/>
    <x v="0"/>
    <x v="0"/>
    <n v="23.5"/>
    <n v="0.47"/>
    <n v="0"/>
  </r>
  <r>
    <n v="560"/>
    <d v="2023-10-23T00:00:00"/>
    <d v="1899-12-30T22:51:00"/>
    <n v="7"/>
    <x v="1"/>
    <x v="38"/>
    <x v="2"/>
    <n v="1"/>
    <n v="50"/>
    <n v="19"/>
    <n v="50"/>
    <x v="1"/>
    <n v="10"/>
    <x v="5"/>
    <n v="23"/>
    <x v="1"/>
    <x v="0"/>
    <n v="31"/>
    <n v="0.62"/>
    <n v="0"/>
  </r>
  <r>
    <n v="944"/>
    <d v="2022-08-23T00:00:00"/>
    <d v="1899-12-30T20:22:00"/>
    <n v="136"/>
    <x v="0"/>
    <x v="47"/>
    <x v="0"/>
    <n v="2"/>
    <n v="25"/>
    <n v="12"/>
    <n v="50"/>
    <x v="0"/>
    <n v="8"/>
    <x v="4"/>
    <n v="23"/>
    <x v="6"/>
    <x v="1"/>
    <n v="38"/>
    <n v="0.76"/>
    <n v="0"/>
  </r>
  <r>
    <n v="1560"/>
    <d v="2022-11-13T00:00:00"/>
    <d v="1899-12-30T17:16:00"/>
    <n v="91"/>
    <x v="1"/>
    <x v="38"/>
    <x v="2"/>
    <n v="1"/>
    <n v="50"/>
    <n v="18.5"/>
    <n v="50"/>
    <x v="0"/>
    <n v="11"/>
    <x v="0"/>
    <n v="13"/>
    <x v="5"/>
    <x v="0"/>
    <n v="31.5"/>
    <n v="0.63"/>
    <n v="0"/>
  </r>
  <r>
    <n v="1944"/>
    <d v="2023-07-18T00:00:00"/>
    <d v="1899-12-30T21:08:00"/>
    <n v="63"/>
    <x v="0"/>
    <x v="47"/>
    <x v="0"/>
    <n v="2"/>
    <n v="25"/>
    <n v="6.5"/>
    <n v="50"/>
    <x v="1"/>
    <n v="7"/>
    <x v="1"/>
    <n v="18"/>
    <x v="6"/>
    <x v="1"/>
    <n v="43.5"/>
    <n v="0.87"/>
    <n v="0"/>
  </r>
  <r>
    <n v="481"/>
    <d v="2023-07-13T00:00:00"/>
    <d v="1899-12-30T17:12:00"/>
    <n v="48"/>
    <x v="1"/>
    <x v="22"/>
    <x v="2"/>
    <n v="4"/>
    <n v="300"/>
    <n v="114"/>
    <n v="1200"/>
    <x v="1"/>
    <n v="7"/>
    <x v="1"/>
    <n v="13"/>
    <x v="2"/>
    <x v="1"/>
    <n v="1086"/>
    <n v="0.90500000000000003"/>
    <n v="1"/>
  </r>
  <r>
    <n v="867"/>
    <d v="2022-07-24T00:00:00"/>
    <d v="1899-12-30T22:40:00"/>
    <n v="152"/>
    <x v="0"/>
    <x v="40"/>
    <x v="2"/>
    <n v="1"/>
    <n v="500"/>
    <n v="185"/>
    <n v="500"/>
    <x v="0"/>
    <n v="7"/>
    <x v="1"/>
    <n v="24"/>
    <x v="5"/>
    <x v="1"/>
    <n v="315"/>
    <n v="0.63"/>
    <n v="1"/>
  </r>
  <r>
    <n v="882"/>
    <d v="2023-10-22T00:00:00"/>
    <d v="1899-12-30T21:41:00"/>
    <n v="144"/>
    <x v="1"/>
    <x v="3"/>
    <x v="2"/>
    <n v="2"/>
    <n v="25"/>
    <n v="13.25"/>
    <n v="50"/>
    <x v="1"/>
    <n v="10"/>
    <x v="5"/>
    <n v="22"/>
    <x v="5"/>
    <x v="0"/>
    <n v="36.75"/>
    <n v="0.73499999999999999"/>
    <n v="0"/>
  </r>
  <r>
    <n v="961"/>
    <d v="2023-03-22T00:00:00"/>
    <d v="1899-12-30T22:36:00"/>
    <n v="86"/>
    <x v="0"/>
    <x v="21"/>
    <x v="1"/>
    <n v="4"/>
    <n v="50"/>
    <n v="23"/>
    <n v="200"/>
    <x v="1"/>
    <n v="3"/>
    <x v="8"/>
    <n v="22"/>
    <x v="4"/>
    <x v="2"/>
    <n v="177"/>
    <n v="0.88500000000000001"/>
    <n v="1"/>
  </r>
  <r>
    <n v="1481"/>
    <d v="2023-11-09T00:00:00"/>
    <d v="1899-12-30T17:22:00"/>
    <n v="20"/>
    <x v="1"/>
    <x v="22"/>
    <x v="2"/>
    <n v="4"/>
    <n v="300"/>
    <n v="114"/>
    <n v="1200"/>
    <x v="1"/>
    <n v="11"/>
    <x v="0"/>
    <n v="9"/>
    <x v="2"/>
    <x v="0"/>
    <n v="1086"/>
    <n v="0.90500000000000003"/>
    <n v="1"/>
  </r>
  <r>
    <n v="1867"/>
    <d v="2023-05-16T00:00:00"/>
    <d v="1899-12-30T19:55:00"/>
    <n v="144"/>
    <x v="0"/>
    <x v="40"/>
    <x v="2"/>
    <n v="1"/>
    <n v="500"/>
    <n v="190"/>
    <n v="500"/>
    <x v="1"/>
    <n v="5"/>
    <x v="7"/>
    <n v="16"/>
    <x v="6"/>
    <x v="3"/>
    <n v="310"/>
    <n v="0.62"/>
    <n v="1"/>
  </r>
  <r>
    <n v="1882"/>
    <d v="2023-06-21T00:00:00"/>
    <d v="1899-12-30T20:56:00"/>
    <n v="15"/>
    <x v="1"/>
    <x v="3"/>
    <x v="2"/>
    <n v="2"/>
    <n v="25"/>
    <n v="9"/>
    <n v="50"/>
    <x v="1"/>
    <n v="6"/>
    <x v="11"/>
    <n v="21"/>
    <x v="4"/>
    <x v="3"/>
    <n v="41"/>
    <n v="0.82"/>
    <n v="0"/>
  </r>
  <r>
    <n v="1961"/>
    <d v="2022-05-15T00:00:00"/>
    <d v="1899-12-30T21:17:00"/>
    <n v="95"/>
    <x v="0"/>
    <x v="21"/>
    <x v="1"/>
    <n v="4"/>
    <n v="50"/>
    <n v="20.5"/>
    <n v="200"/>
    <x v="0"/>
    <n v="5"/>
    <x v="7"/>
    <n v="15"/>
    <x v="5"/>
    <x v="3"/>
    <n v="179.5"/>
    <n v="0.89749999999999996"/>
    <n v="1"/>
  </r>
  <r>
    <n v="187"/>
    <d v="2022-02-20T00:00:00"/>
    <d v="1899-12-30T20:19:00"/>
    <n v="88"/>
    <x v="1"/>
    <x v="3"/>
    <x v="0"/>
    <n v="2"/>
    <n v="50"/>
    <n v="21"/>
    <n v="100"/>
    <x v="0"/>
    <n v="2"/>
    <x v="10"/>
    <n v="20"/>
    <x v="5"/>
    <x v="2"/>
    <n v="79"/>
    <n v="0.79"/>
    <n v="0"/>
  </r>
  <r>
    <n v="446"/>
    <d v="2022-11-02T00:00:00"/>
    <d v="1899-12-30T19:57:00"/>
    <n v="104"/>
    <x v="0"/>
    <x v="40"/>
    <x v="2"/>
    <n v="1"/>
    <n v="50"/>
    <n v="13"/>
    <n v="50"/>
    <x v="0"/>
    <n v="11"/>
    <x v="0"/>
    <n v="2"/>
    <x v="4"/>
    <x v="0"/>
    <n v="37"/>
    <n v="0.74"/>
    <n v="0"/>
  </r>
  <r>
    <n v="1187"/>
    <d v="2023-07-07T00:00:00"/>
    <d v="1899-12-30T17:05:00"/>
    <n v="52"/>
    <x v="1"/>
    <x v="3"/>
    <x v="0"/>
    <n v="2"/>
    <n v="50"/>
    <n v="12.5"/>
    <n v="100"/>
    <x v="1"/>
    <n v="7"/>
    <x v="1"/>
    <n v="7"/>
    <x v="3"/>
    <x v="1"/>
    <n v="87.5"/>
    <n v="0.875"/>
    <n v="0"/>
  </r>
  <r>
    <n v="1446"/>
    <d v="2022-01-23T00:00:00"/>
    <d v="1899-12-30T18:55:00"/>
    <n v="155"/>
    <x v="0"/>
    <x v="40"/>
    <x v="2"/>
    <n v="1"/>
    <n v="50"/>
    <n v="23.5"/>
    <n v="50"/>
    <x v="0"/>
    <n v="1"/>
    <x v="3"/>
    <n v="23"/>
    <x v="5"/>
    <x v="2"/>
    <n v="26.5"/>
    <n v="0.53"/>
    <n v="0"/>
  </r>
  <r>
    <n v="539"/>
    <d v="2023-11-30T00:00:00"/>
    <d v="1899-12-30T18:13:00"/>
    <n v="135"/>
    <x v="0"/>
    <x v="38"/>
    <x v="1"/>
    <n v="1"/>
    <n v="500"/>
    <n v="205"/>
    <n v="500"/>
    <x v="1"/>
    <n v="11"/>
    <x v="0"/>
    <n v="30"/>
    <x v="2"/>
    <x v="0"/>
    <n v="295"/>
    <n v="0.59"/>
    <n v="1"/>
  </r>
  <r>
    <n v="587"/>
    <d v="2023-09-04T00:00:00"/>
    <d v="1899-12-30T19:00:00"/>
    <n v="91"/>
    <x v="1"/>
    <x v="2"/>
    <x v="1"/>
    <n v="4"/>
    <n v="300"/>
    <n v="99"/>
    <n v="1200"/>
    <x v="1"/>
    <n v="9"/>
    <x v="9"/>
    <n v="4"/>
    <x v="1"/>
    <x v="1"/>
    <n v="1101"/>
    <n v="0.91749999999999998"/>
    <n v="1"/>
  </r>
  <r>
    <n v="1539"/>
    <d v="2022-12-06T00:00:00"/>
    <d v="1899-12-30T21:52:00"/>
    <n v="96"/>
    <x v="0"/>
    <x v="38"/>
    <x v="1"/>
    <n v="1"/>
    <n v="500"/>
    <n v="170"/>
    <n v="500"/>
    <x v="0"/>
    <n v="12"/>
    <x v="2"/>
    <n v="6"/>
    <x v="6"/>
    <x v="0"/>
    <n v="330"/>
    <n v="0.66"/>
    <n v="1"/>
  </r>
  <r>
    <n v="1587"/>
    <d v="2022-11-05T00:00:00"/>
    <d v="1899-12-30T20:06:00"/>
    <n v="140"/>
    <x v="1"/>
    <x v="2"/>
    <x v="1"/>
    <n v="4"/>
    <n v="300"/>
    <n v="105"/>
    <n v="1200"/>
    <x v="0"/>
    <n v="11"/>
    <x v="0"/>
    <n v="5"/>
    <x v="0"/>
    <x v="0"/>
    <n v="1095"/>
    <n v="0.91249999999999998"/>
    <n v="1"/>
  </r>
  <r>
    <n v="212"/>
    <d v="2023-10-12T00:00:00"/>
    <d v="1899-12-30T18:13:00"/>
    <n v="105"/>
    <x v="0"/>
    <x v="40"/>
    <x v="0"/>
    <n v="3"/>
    <n v="500"/>
    <n v="215"/>
    <n v="1500"/>
    <x v="1"/>
    <n v="10"/>
    <x v="5"/>
    <n v="12"/>
    <x v="2"/>
    <x v="0"/>
    <n v="1285"/>
    <n v="0.85666666700000005"/>
    <n v="1"/>
  </r>
  <r>
    <n v="765"/>
    <d v="2022-10-16T00:00:00"/>
    <d v="1899-12-30T19:03:00"/>
    <n v="77"/>
    <x v="0"/>
    <x v="22"/>
    <x v="0"/>
    <n v="4"/>
    <n v="50"/>
    <n v="12.5"/>
    <n v="200"/>
    <x v="0"/>
    <n v="10"/>
    <x v="5"/>
    <n v="16"/>
    <x v="5"/>
    <x v="0"/>
    <n v="187.5"/>
    <n v="0.9375"/>
    <n v="1"/>
  </r>
  <r>
    <n v="769"/>
    <d v="2022-09-09T00:00:00"/>
    <d v="1899-12-30T18:57:00"/>
    <n v="18"/>
    <x v="1"/>
    <x v="16"/>
    <x v="2"/>
    <n v="4"/>
    <n v="30"/>
    <n v="10.199999999999999"/>
    <n v="120"/>
    <x v="0"/>
    <n v="9"/>
    <x v="9"/>
    <n v="9"/>
    <x v="3"/>
    <x v="1"/>
    <n v="109.8"/>
    <n v="0.91500000000000004"/>
    <n v="0"/>
  </r>
  <r>
    <n v="1212"/>
    <d v="2022-03-16T00:00:00"/>
    <d v="1899-12-30T18:05:00"/>
    <n v="142"/>
    <x v="0"/>
    <x v="40"/>
    <x v="0"/>
    <n v="3"/>
    <n v="500"/>
    <n v="265"/>
    <n v="1500"/>
    <x v="0"/>
    <n v="3"/>
    <x v="8"/>
    <n v="16"/>
    <x v="4"/>
    <x v="2"/>
    <n v="1235"/>
    <n v="0.823333333"/>
    <n v="1"/>
  </r>
  <r>
    <n v="1765"/>
    <d v="2022-10-18T00:00:00"/>
    <d v="1899-12-30T22:49:00"/>
    <n v="13"/>
    <x v="0"/>
    <x v="22"/>
    <x v="0"/>
    <n v="4"/>
    <n v="50"/>
    <n v="16"/>
    <n v="200"/>
    <x v="0"/>
    <n v="10"/>
    <x v="5"/>
    <n v="18"/>
    <x v="6"/>
    <x v="0"/>
    <n v="184"/>
    <n v="0.92"/>
    <n v="1"/>
  </r>
  <r>
    <n v="1769"/>
    <d v="2023-10-08T00:00:00"/>
    <d v="1899-12-30T22:50:00"/>
    <n v="116"/>
    <x v="1"/>
    <x v="16"/>
    <x v="2"/>
    <n v="4"/>
    <n v="30"/>
    <n v="9.3000000000000007"/>
    <n v="120"/>
    <x v="1"/>
    <n v="10"/>
    <x v="5"/>
    <n v="8"/>
    <x v="5"/>
    <x v="0"/>
    <n v="110.7"/>
    <n v="0.92249999999999999"/>
    <n v="0"/>
  </r>
  <r>
    <n v="321"/>
    <d v="2023-09-24T00:00:00"/>
    <d v="1899-12-30T19:53:00"/>
    <n v="30"/>
    <x v="1"/>
    <x v="6"/>
    <x v="2"/>
    <n v="2"/>
    <n v="25"/>
    <n v="9.5"/>
    <n v="50"/>
    <x v="1"/>
    <n v="9"/>
    <x v="9"/>
    <n v="24"/>
    <x v="5"/>
    <x v="1"/>
    <n v="40.5"/>
    <n v="0.81"/>
    <n v="0"/>
  </r>
  <r>
    <n v="356"/>
    <d v="2023-08-27T00:00:00"/>
    <d v="1899-12-30T18:35:00"/>
    <n v="71"/>
    <x v="0"/>
    <x v="20"/>
    <x v="2"/>
    <n v="3"/>
    <n v="500"/>
    <n v="255"/>
    <n v="1500"/>
    <x v="1"/>
    <n v="8"/>
    <x v="4"/>
    <n v="27"/>
    <x v="5"/>
    <x v="1"/>
    <n v="1245"/>
    <n v="0.83"/>
    <n v="1"/>
  </r>
  <r>
    <n v="510"/>
    <d v="2023-05-29T00:00:00"/>
    <d v="1899-12-30T17:04:00"/>
    <n v="14"/>
    <x v="1"/>
    <x v="27"/>
    <x v="1"/>
    <n v="4"/>
    <n v="50"/>
    <n v="13"/>
    <n v="200"/>
    <x v="1"/>
    <n v="5"/>
    <x v="7"/>
    <n v="29"/>
    <x v="1"/>
    <x v="3"/>
    <n v="187"/>
    <n v="0.93500000000000005"/>
    <n v="1"/>
  </r>
  <r>
    <n v="534"/>
    <d v="2023-04-27T00:00:00"/>
    <d v="1899-12-30T22:30:00"/>
    <n v="112"/>
    <x v="0"/>
    <x v="14"/>
    <x v="0"/>
    <n v="2"/>
    <n v="500"/>
    <n v="140"/>
    <n v="1000"/>
    <x v="1"/>
    <n v="4"/>
    <x v="6"/>
    <n v="27"/>
    <x v="2"/>
    <x v="3"/>
    <n v="860"/>
    <n v="0.86"/>
    <n v="1"/>
  </r>
  <r>
    <n v="1321"/>
    <d v="2023-04-23T00:00:00"/>
    <d v="1899-12-30T22:54:00"/>
    <n v="155"/>
    <x v="1"/>
    <x v="6"/>
    <x v="2"/>
    <n v="2"/>
    <n v="25"/>
    <n v="10.5"/>
    <n v="50"/>
    <x v="1"/>
    <n v="4"/>
    <x v="6"/>
    <n v="23"/>
    <x v="5"/>
    <x v="3"/>
    <n v="39.5"/>
    <n v="0.79"/>
    <n v="0"/>
  </r>
  <r>
    <n v="1356"/>
    <d v="2023-12-18T00:00:00"/>
    <d v="1899-12-30T21:31:00"/>
    <n v="11"/>
    <x v="0"/>
    <x v="20"/>
    <x v="2"/>
    <n v="3"/>
    <n v="500"/>
    <n v="245"/>
    <n v="1500"/>
    <x v="1"/>
    <n v="12"/>
    <x v="2"/>
    <n v="18"/>
    <x v="1"/>
    <x v="0"/>
    <n v="1255"/>
    <n v="0.83666666700000003"/>
    <n v="1"/>
  </r>
  <r>
    <n v="1510"/>
    <d v="2022-11-20T00:00:00"/>
    <d v="1899-12-30T18:21:00"/>
    <n v="124"/>
    <x v="1"/>
    <x v="27"/>
    <x v="1"/>
    <n v="4"/>
    <n v="50"/>
    <n v="19"/>
    <n v="200"/>
    <x v="0"/>
    <n v="11"/>
    <x v="0"/>
    <n v="20"/>
    <x v="5"/>
    <x v="0"/>
    <n v="181"/>
    <n v="0.90500000000000003"/>
    <n v="1"/>
  </r>
  <r>
    <n v="1534"/>
    <d v="2022-06-13T00:00:00"/>
    <d v="1899-12-30T19:44:00"/>
    <n v="72"/>
    <x v="0"/>
    <x v="14"/>
    <x v="0"/>
    <n v="2"/>
    <n v="500"/>
    <n v="270"/>
    <n v="1000"/>
    <x v="0"/>
    <n v="6"/>
    <x v="11"/>
    <n v="13"/>
    <x v="1"/>
    <x v="3"/>
    <n v="730"/>
    <n v="0.73"/>
    <n v="1"/>
  </r>
  <r>
    <n v="104"/>
    <d v="2022-06-09T00:00:00"/>
    <d v="1899-12-30T22:58:00"/>
    <n v="129"/>
    <x v="1"/>
    <x v="23"/>
    <x v="1"/>
    <n v="2"/>
    <n v="500"/>
    <n v="190"/>
    <n v="1000"/>
    <x v="0"/>
    <n v="6"/>
    <x v="11"/>
    <n v="9"/>
    <x v="2"/>
    <x v="3"/>
    <n v="810"/>
    <n v="0.81"/>
    <n v="1"/>
  </r>
  <r>
    <n v="110"/>
    <d v="2022-11-18T00:00:00"/>
    <d v="1899-12-30T17:28:00"/>
    <n v="149"/>
    <x v="0"/>
    <x v="17"/>
    <x v="0"/>
    <n v="3"/>
    <n v="300"/>
    <n v="99"/>
    <n v="900"/>
    <x v="0"/>
    <n v="11"/>
    <x v="0"/>
    <n v="18"/>
    <x v="3"/>
    <x v="0"/>
    <n v="801"/>
    <n v="0.89"/>
    <n v="1"/>
  </r>
  <r>
    <n v="352"/>
    <d v="2023-07-28T00:00:00"/>
    <d v="1899-12-30T17:55:00"/>
    <n v="54"/>
    <x v="0"/>
    <x v="10"/>
    <x v="2"/>
    <n v="2"/>
    <n v="500"/>
    <n v="175"/>
    <n v="1000"/>
    <x v="1"/>
    <n v="7"/>
    <x v="1"/>
    <n v="28"/>
    <x v="3"/>
    <x v="1"/>
    <n v="825"/>
    <n v="0.82499999999999996"/>
    <n v="1"/>
  </r>
  <r>
    <n v="365"/>
    <d v="2023-02-23T00:00:00"/>
    <d v="1899-12-30T22:12:00"/>
    <n v="151"/>
    <x v="0"/>
    <x v="16"/>
    <x v="0"/>
    <n v="1"/>
    <n v="300"/>
    <n v="93"/>
    <n v="300"/>
    <x v="1"/>
    <n v="2"/>
    <x v="10"/>
    <n v="23"/>
    <x v="2"/>
    <x v="2"/>
    <n v="207"/>
    <n v="0.69"/>
    <n v="1"/>
  </r>
  <r>
    <n v="887"/>
    <d v="2022-02-24T00:00:00"/>
    <d v="1899-12-30T19:20:00"/>
    <n v="44"/>
    <x v="0"/>
    <x v="26"/>
    <x v="0"/>
    <n v="4"/>
    <n v="25"/>
    <n v="10"/>
    <n v="100"/>
    <x v="0"/>
    <n v="2"/>
    <x v="10"/>
    <n v="24"/>
    <x v="2"/>
    <x v="2"/>
    <n v="90"/>
    <n v="0.9"/>
    <n v="0"/>
  </r>
  <r>
    <n v="1104"/>
    <d v="2022-07-11T00:00:00"/>
    <d v="1899-12-30T20:13:00"/>
    <n v="70"/>
    <x v="1"/>
    <x v="23"/>
    <x v="1"/>
    <n v="2"/>
    <n v="500"/>
    <n v="150"/>
    <n v="1000"/>
    <x v="0"/>
    <n v="7"/>
    <x v="1"/>
    <n v="11"/>
    <x v="1"/>
    <x v="1"/>
    <n v="850"/>
    <n v="0.85"/>
    <n v="1"/>
  </r>
  <r>
    <n v="1110"/>
    <d v="2022-10-26T00:00:00"/>
    <d v="1899-12-30T19:14:00"/>
    <n v="62"/>
    <x v="0"/>
    <x v="17"/>
    <x v="0"/>
    <n v="3"/>
    <n v="300"/>
    <n v="114"/>
    <n v="900"/>
    <x v="0"/>
    <n v="10"/>
    <x v="5"/>
    <n v="26"/>
    <x v="4"/>
    <x v="0"/>
    <n v="786"/>
    <n v="0.87333333300000004"/>
    <n v="1"/>
  </r>
  <r>
    <n v="1352"/>
    <d v="2023-10-19T00:00:00"/>
    <d v="1899-12-30T17:40:00"/>
    <n v="14"/>
    <x v="0"/>
    <x v="10"/>
    <x v="2"/>
    <n v="2"/>
    <n v="500"/>
    <n v="260"/>
    <n v="1000"/>
    <x v="1"/>
    <n v="10"/>
    <x v="5"/>
    <n v="19"/>
    <x v="2"/>
    <x v="0"/>
    <n v="740"/>
    <n v="0.74"/>
    <n v="1"/>
  </r>
  <r>
    <n v="1365"/>
    <d v="2023-11-08T00:00:00"/>
    <d v="1899-12-30T20:22:00"/>
    <n v="18"/>
    <x v="0"/>
    <x v="16"/>
    <x v="0"/>
    <n v="1"/>
    <n v="300"/>
    <n v="156"/>
    <n v="300"/>
    <x v="1"/>
    <n v="11"/>
    <x v="0"/>
    <n v="8"/>
    <x v="4"/>
    <x v="0"/>
    <n v="144"/>
    <n v="0.48"/>
    <n v="1"/>
  </r>
  <r>
    <n v="1887"/>
    <d v="2023-12-11T00:00:00"/>
    <d v="1899-12-30T19:34:00"/>
    <n v="113"/>
    <x v="0"/>
    <x v="26"/>
    <x v="0"/>
    <n v="4"/>
    <n v="25"/>
    <n v="10"/>
    <n v="100"/>
    <x v="1"/>
    <n v="12"/>
    <x v="2"/>
    <n v="11"/>
    <x v="1"/>
    <x v="0"/>
    <n v="90"/>
    <n v="0.9"/>
    <n v="0"/>
  </r>
  <r>
    <n v="629"/>
    <d v="2023-01-05T00:00:00"/>
    <d v="1899-12-30T19:55:00"/>
    <n v="39"/>
    <x v="0"/>
    <x v="44"/>
    <x v="2"/>
    <n v="2"/>
    <n v="25"/>
    <n v="8"/>
    <n v="50"/>
    <x v="1"/>
    <n v="1"/>
    <x v="3"/>
    <n v="5"/>
    <x v="2"/>
    <x v="2"/>
    <n v="42"/>
    <n v="0.84"/>
    <n v="0"/>
  </r>
  <r>
    <n v="1629"/>
    <d v="2022-02-17T00:00:00"/>
    <d v="1899-12-30T20:18:00"/>
    <n v="144"/>
    <x v="0"/>
    <x v="44"/>
    <x v="2"/>
    <n v="2"/>
    <n v="25"/>
    <n v="10.75"/>
    <n v="50"/>
    <x v="0"/>
    <n v="2"/>
    <x v="10"/>
    <n v="17"/>
    <x v="2"/>
    <x v="2"/>
    <n v="39.25"/>
    <n v="0.78500000000000003"/>
    <n v="0"/>
  </r>
  <r>
    <n v="655"/>
    <d v="2022-10-31T00:00:00"/>
    <d v="1899-12-30T18:43:00"/>
    <n v="19"/>
    <x v="1"/>
    <x v="46"/>
    <x v="0"/>
    <n v="1"/>
    <n v="500"/>
    <n v="210"/>
    <n v="500"/>
    <x v="0"/>
    <n v="10"/>
    <x v="5"/>
    <n v="31"/>
    <x v="1"/>
    <x v="0"/>
    <n v="290"/>
    <n v="0.57999999999999996"/>
    <n v="1"/>
  </r>
  <r>
    <n v="1655"/>
    <d v="2023-05-28T00:00:00"/>
    <d v="1899-12-30T17:57:00"/>
    <n v="8"/>
    <x v="1"/>
    <x v="46"/>
    <x v="0"/>
    <n v="1"/>
    <n v="500"/>
    <n v="125"/>
    <n v="500"/>
    <x v="1"/>
    <n v="5"/>
    <x v="7"/>
    <n v="28"/>
    <x v="5"/>
    <x v="3"/>
    <n v="375"/>
    <n v="0.75"/>
    <n v="1"/>
  </r>
  <r>
    <n v="567"/>
    <d v="2023-05-08T00:00:00"/>
    <d v="1899-12-30T19:53:00"/>
    <n v="5"/>
    <x v="1"/>
    <x v="38"/>
    <x v="0"/>
    <n v="3"/>
    <n v="300"/>
    <n v="144"/>
    <n v="900"/>
    <x v="1"/>
    <n v="5"/>
    <x v="7"/>
    <n v="8"/>
    <x v="1"/>
    <x v="3"/>
    <n v="756"/>
    <n v="0.84"/>
    <n v="1"/>
  </r>
  <r>
    <n v="1567"/>
    <d v="2023-04-07T00:00:00"/>
    <d v="1899-12-30T17:10:00"/>
    <n v="76"/>
    <x v="1"/>
    <x v="38"/>
    <x v="0"/>
    <n v="3"/>
    <n v="300"/>
    <n v="162"/>
    <n v="900"/>
    <x v="1"/>
    <n v="4"/>
    <x v="6"/>
    <n v="7"/>
    <x v="3"/>
    <x v="3"/>
    <n v="738"/>
    <n v="0.82"/>
    <n v="1"/>
  </r>
  <r>
    <n v="182"/>
    <d v="2023-06-21T00:00:00"/>
    <d v="1899-12-30T19:27:00"/>
    <n v="27"/>
    <x v="0"/>
    <x v="44"/>
    <x v="1"/>
    <n v="4"/>
    <n v="30"/>
    <n v="10.199999999999999"/>
    <n v="120"/>
    <x v="1"/>
    <n v="6"/>
    <x v="11"/>
    <n v="21"/>
    <x v="4"/>
    <x v="3"/>
    <n v="109.8"/>
    <n v="0.91500000000000004"/>
    <n v="0"/>
  </r>
  <r>
    <n v="819"/>
    <d v="2023-08-15T00:00:00"/>
    <d v="1899-12-30T21:59:00"/>
    <n v="111"/>
    <x v="1"/>
    <x v="39"/>
    <x v="1"/>
    <n v="2"/>
    <n v="50"/>
    <n v="26"/>
    <n v="100"/>
    <x v="1"/>
    <n v="8"/>
    <x v="4"/>
    <n v="15"/>
    <x v="6"/>
    <x v="1"/>
    <n v="74"/>
    <n v="0.74"/>
    <n v="0"/>
  </r>
  <r>
    <n v="1182"/>
    <d v="2023-01-03T00:00:00"/>
    <d v="1899-12-30T21:26:00"/>
    <n v="14"/>
    <x v="0"/>
    <x v="44"/>
    <x v="1"/>
    <n v="4"/>
    <n v="30"/>
    <n v="12.9"/>
    <n v="120"/>
    <x v="1"/>
    <n v="1"/>
    <x v="3"/>
    <n v="3"/>
    <x v="6"/>
    <x v="2"/>
    <n v="107.1"/>
    <n v="0.89249999999999996"/>
    <n v="0"/>
  </r>
  <r>
    <n v="1819"/>
    <d v="2022-11-05T00:00:00"/>
    <d v="1899-12-30T20:44:00"/>
    <n v="83"/>
    <x v="1"/>
    <x v="39"/>
    <x v="1"/>
    <n v="2"/>
    <n v="50"/>
    <n v="13.5"/>
    <n v="100"/>
    <x v="0"/>
    <n v="11"/>
    <x v="0"/>
    <n v="5"/>
    <x v="0"/>
    <x v="0"/>
    <n v="86.5"/>
    <n v="0.86499999999999999"/>
    <n v="0"/>
  </r>
  <r>
    <n v="100"/>
    <d v="2022-02-08T00:00:00"/>
    <d v="1899-12-30T19:34:00"/>
    <n v="21"/>
    <x v="0"/>
    <x v="0"/>
    <x v="2"/>
    <n v="1"/>
    <n v="30"/>
    <n v="9.3000000000000007"/>
    <n v="30"/>
    <x v="0"/>
    <n v="2"/>
    <x v="10"/>
    <n v="8"/>
    <x v="6"/>
    <x v="2"/>
    <n v="20.7"/>
    <n v="0.69"/>
    <n v="0"/>
  </r>
  <r>
    <n v="833"/>
    <d v="2023-05-09T00:00:00"/>
    <d v="1899-12-30T18:39:00"/>
    <n v="85"/>
    <x v="0"/>
    <x v="25"/>
    <x v="1"/>
    <n v="4"/>
    <n v="50"/>
    <n v="24.5"/>
    <n v="200"/>
    <x v="1"/>
    <n v="5"/>
    <x v="7"/>
    <n v="9"/>
    <x v="6"/>
    <x v="3"/>
    <n v="175.5"/>
    <n v="0.87749999999999995"/>
    <n v="1"/>
  </r>
  <r>
    <n v="1100"/>
    <d v="2023-01-20T00:00:00"/>
    <d v="1899-12-30T18:15:00"/>
    <n v="136"/>
    <x v="0"/>
    <x v="0"/>
    <x v="2"/>
    <n v="1"/>
    <n v="30"/>
    <n v="13.2"/>
    <n v="30"/>
    <x v="1"/>
    <n v="1"/>
    <x v="3"/>
    <n v="20"/>
    <x v="3"/>
    <x v="2"/>
    <n v="16.8"/>
    <n v="0.56000000000000005"/>
    <n v="0"/>
  </r>
  <r>
    <n v="1833"/>
    <d v="2022-01-30T00:00:00"/>
    <d v="1899-12-30T17:20:00"/>
    <n v="56"/>
    <x v="0"/>
    <x v="25"/>
    <x v="1"/>
    <n v="4"/>
    <n v="50"/>
    <n v="18"/>
    <n v="200"/>
    <x v="0"/>
    <n v="1"/>
    <x v="3"/>
    <n v="30"/>
    <x v="5"/>
    <x v="2"/>
    <n v="182"/>
    <n v="0.91"/>
    <n v="1"/>
  </r>
  <r>
    <n v="542"/>
    <d v="2023-06-01T00:00:00"/>
    <d v="1899-12-30T18:41:00"/>
    <n v="50"/>
    <x v="1"/>
    <x v="36"/>
    <x v="1"/>
    <n v="1"/>
    <n v="50"/>
    <n v="24"/>
    <n v="50"/>
    <x v="1"/>
    <n v="6"/>
    <x v="11"/>
    <n v="1"/>
    <x v="2"/>
    <x v="3"/>
    <n v="26"/>
    <n v="0.52"/>
    <n v="0"/>
  </r>
  <r>
    <n v="723"/>
    <d v="2022-07-14T00:00:00"/>
    <d v="1899-12-30T21:57:00"/>
    <n v="120"/>
    <x v="1"/>
    <x v="29"/>
    <x v="1"/>
    <n v="4"/>
    <n v="50"/>
    <n v="20.5"/>
    <n v="200"/>
    <x v="0"/>
    <n v="7"/>
    <x v="1"/>
    <n v="14"/>
    <x v="2"/>
    <x v="1"/>
    <n v="179.5"/>
    <n v="0.89749999999999996"/>
    <n v="1"/>
  </r>
  <r>
    <n v="726"/>
    <d v="2022-06-05T00:00:00"/>
    <d v="1899-12-30T19:37:00"/>
    <n v="72"/>
    <x v="0"/>
    <x v="35"/>
    <x v="0"/>
    <n v="4"/>
    <n v="300"/>
    <n v="126"/>
    <n v="1200"/>
    <x v="0"/>
    <n v="6"/>
    <x v="11"/>
    <n v="5"/>
    <x v="5"/>
    <x v="3"/>
    <n v="1074"/>
    <n v="0.89500000000000002"/>
    <n v="1"/>
  </r>
  <r>
    <n v="1542"/>
    <d v="2023-05-17T00:00:00"/>
    <d v="1899-12-30T20:30:00"/>
    <n v="147"/>
    <x v="1"/>
    <x v="36"/>
    <x v="1"/>
    <n v="1"/>
    <n v="50"/>
    <n v="14.5"/>
    <n v="50"/>
    <x v="1"/>
    <n v="5"/>
    <x v="7"/>
    <n v="17"/>
    <x v="4"/>
    <x v="3"/>
    <n v="35.5"/>
    <n v="0.71"/>
    <n v="0"/>
  </r>
  <r>
    <n v="1723"/>
    <d v="2022-02-10T00:00:00"/>
    <d v="1899-12-30T17:43:00"/>
    <n v="40"/>
    <x v="1"/>
    <x v="29"/>
    <x v="1"/>
    <n v="4"/>
    <n v="50"/>
    <n v="18"/>
    <n v="200"/>
    <x v="0"/>
    <n v="2"/>
    <x v="10"/>
    <n v="10"/>
    <x v="2"/>
    <x v="2"/>
    <n v="182"/>
    <n v="0.91"/>
    <n v="1"/>
  </r>
  <r>
    <n v="1726"/>
    <d v="2023-06-26T00:00:00"/>
    <d v="1899-12-30T18:12:00"/>
    <n v="13"/>
    <x v="0"/>
    <x v="35"/>
    <x v="0"/>
    <n v="4"/>
    <n v="300"/>
    <n v="93"/>
    <n v="1200"/>
    <x v="1"/>
    <n v="6"/>
    <x v="11"/>
    <n v="26"/>
    <x v="1"/>
    <x v="3"/>
    <n v="1107"/>
    <n v="0.92249999999999999"/>
    <n v="1"/>
  </r>
  <r>
    <n v="488"/>
    <d v="2022-07-05T00:00:00"/>
    <d v="1899-12-30T17:28:00"/>
    <n v="26"/>
    <x v="1"/>
    <x v="12"/>
    <x v="2"/>
    <n v="3"/>
    <n v="300"/>
    <n v="123"/>
    <n v="900"/>
    <x v="0"/>
    <n v="7"/>
    <x v="1"/>
    <n v="5"/>
    <x v="6"/>
    <x v="1"/>
    <n v="777"/>
    <n v="0.86333333300000004"/>
    <n v="1"/>
  </r>
  <r>
    <n v="1488"/>
    <d v="2022-11-12T00:00:00"/>
    <d v="1899-12-30T19:24:00"/>
    <n v="9"/>
    <x v="1"/>
    <x v="12"/>
    <x v="2"/>
    <n v="3"/>
    <n v="300"/>
    <n v="126"/>
    <n v="900"/>
    <x v="0"/>
    <n v="11"/>
    <x v="0"/>
    <n v="12"/>
    <x v="0"/>
    <x v="0"/>
    <n v="774"/>
    <n v="0.86"/>
    <n v="1"/>
  </r>
  <r>
    <n v="239"/>
    <d v="2022-09-19T00:00:00"/>
    <d v="1899-12-30T19:34:00"/>
    <n v="1"/>
    <x v="0"/>
    <x v="9"/>
    <x v="2"/>
    <n v="3"/>
    <n v="500"/>
    <n v="165"/>
    <n v="1500"/>
    <x v="0"/>
    <n v="9"/>
    <x v="9"/>
    <n v="19"/>
    <x v="1"/>
    <x v="1"/>
    <n v="1335"/>
    <n v="0.89"/>
    <n v="1"/>
  </r>
  <r>
    <n v="498"/>
    <d v="2022-03-22T00:00:00"/>
    <d v="1899-12-30T22:20:00"/>
    <n v="41"/>
    <x v="1"/>
    <x v="20"/>
    <x v="0"/>
    <n v="4"/>
    <n v="25"/>
    <n v="8.25"/>
    <n v="100"/>
    <x v="0"/>
    <n v="3"/>
    <x v="8"/>
    <n v="22"/>
    <x v="6"/>
    <x v="2"/>
    <n v="91.75"/>
    <n v="0.91749999999999998"/>
    <n v="0"/>
  </r>
  <r>
    <n v="532"/>
    <d v="2022-08-15T00:00:00"/>
    <d v="1899-12-30T18:04:00"/>
    <n v="92"/>
    <x v="1"/>
    <x v="3"/>
    <x v="0"/>
    <n v="4"/>
    <n v="30"/>
    <n v="12.9"/>
    <n v="120"/>
    <x v="0"/>
    <n v="8"/>
    <x v="4"/>
    <n v="15"/>
    <x v="1"/>
    <x v="1"/>
    <n v="107.1"/>
    <n v="0.89249999999999996"/>
    <n v="0"/>
  </r>
  <r>
    <n v="669"/>
    <d v="2022-01-23T00:00:00"/>
    <d v="1899-12-30T20:24:00"/>
    <n v="110"/>
    <x v="0"/>
    <x v="24"/>
    <x v="1"/>
    <n v="4"/>
    <n v="300"/>
    <n v="87"/>
    <n v="1200"/>
    <x v="0"/>
    <n v="1"/>
    <x v="3"/>
    <n v="23"/>
    <x v="5"/>
    <x v="2"/>
    <n v="1113"/>
    <n v="0.92749999999999999"/>
    <n v="1"/>
  </r>
  <r>
    <n v="877"/>
    <d v="2022-10-01T00:00:00"/>
    <d v="1899-12-30T19:52:00"/>
    <n v="134"/>
    <x v="1"/>
    <x v="43"/>
    <x v="0"/>
    <n v="1"/>
    <n v="25"/>
    <n v="6.75"/>
    <n v="25"/>
    <x v="0"/>
    <n v="10"/>
    <x v="5"/>
    <n v="1"/>
    <x v="0"/>
    <x v="0"/>
    <n v="18.25"/>
    <n v="0.73"/>
    <n v="0"/>
  </r>
  <r>
    <n v="1239"/>
    <d v="2022-07-08T00:00:00"/>
    <d v="1899-12-30T20:42:00"/>
    <n v="134"/>
    <x v="0"/>
    <x v="9"/>
    <x v="2"/>
    <n v="3"/>
    <n v="500"/>
    <n v="255"/>
    <n v="1500"/>
    <x v="0"/>
    <n v="7"/>
    <x v="1"/>
    <n v="8"/>
    <x v="3"/>
    <x v="1"/>
    <n v="1245"/>
    <n v="0.83"/>
    <n v="1"/>
  </r>
  <r>
    <n v="1498"/>
    <d v="2022-08-29T00:00:00"/>
    <d v="1899-12-30T17:08:00"/>
    <n v="51"/>
    <x v="1"/>
    <x v="20"/>
    <x v="0"/>
    <n v="4"/>
    <n v="25"/>
    <n v="12.5"/>
    <n v="100"/>
    <x v="0"/>
    <n v="8"/>
    <x v="4"/>
    <n v="29"/>
    <x v="1"/>
    <x v="1"/>
    <n v="87.5"/>
    <n v="0.875"/>
    <n v="0"/>
  </r>
  <r>
    <n v="1532"/>
    <d v="2022-03-23T00:00:00"/>
    <d v="1899-12-30T22:48:00"/>
    <n v="51"/>
    <x v="1"/>
    <x v="3"/>
    <x v="0"/>
    <n v="4"/>
    <n v="30"/>
    <n v="15.6"/>
    <n v="120"/>
    <x v="0"/>
    <n v="3"/>
    <x v="8"/>
    <n v="23"/>
    <x v="4"/>
    <x v="2"/>
    <n v="104.4"/>
    <n v="0.87"/>
    <n v="0"/>
  </r>
  <r>
    <n v="1669"/>
    <d v="2022-08-04T00:00:00"/>
    <d v="1899-12-30T22:28:00"/>
    <n v="83"/>
    <x v="0"/>
    <x v="24"/>
    <x v="1"/>
    <n v="4"/>
    <n v="300"/>
    <n v="123"/>
    <n v="1200"/>
    <x v="0"/>
    <n v="8"/>
    <x v="4"/>
    <n v="4"/>
    <x v="2"/>
    <x v="1"/>
    <n v="1077"/>
    <n v="0.89749999999999996"/>
    <n v="1"/>
  </r>
  <r>
    <n v="1877"/>
    <d v="2023-01-25T00:00:00"/>
    <d v="1899-12-30T20:19:00"/>
    <n v="72"/>
    <x v="1"/>
    <x v="43"/>
    <x v="0"/>
    <n v="1"/>
    <n v="25"/>
    <n v="10.5"/>
    <n v="25"/>
    <x v="1"/>
    <n v="1"/>
    <x v="3"/>
    <n v="25"/>
    <x v="4"/>
    <x v="2"/>
    <n v="14.5"/>
    <n v="0.57999999999999996"/>
    <n v="0"/>
  </r>
  <r>
    <n v="422"/>
    <d v="2022-08-21T00:00:00"/>
    <d v="1899-12-30T22:34:00"/>
    <n v="67"/>
    <x v="1"/>
    <x v="32"/>
    <x v="0"/>
    <n v="3"/>
    <n v="30"/>
    <n v="13.2"/>
    <n v="90"/>
    <x v="0"/>
    <n v="8"/>
    <x v="4"/>
    <n v="21"/>
    <x v="5"/>
    <x v="1"/>
    <n v="76.8"/>
    <n v="0.85333333300000003"/>
    <n v="0"/>
  </r>
  <r>
    <n v="466"/>
    <d v="2023-01-11T00:00:00"/>
    <d v="1899-12-30T21:52:00"/>
    <n v="66"/>
    <x v="0"/>
    <x v="15"/>
    <x v="2"/>
    <n v="4"/>
    <n v="25"/>
    <n v="13.75"/>
    <n v="100"/>
    <x v="1"/>
    <n v="1"/>
    <x v="3"/>
    <n v="11"/>
    <x v="4"/>
    <x v="2"/>
    <n v="86.25"/>
    <n v="0.86250000000000004"/>
    <n v="0"/>
  </r>
  <r>
    <n v="1422"/>
    <d v="2022-05-07T00:00:00"/>
    <d v="1899-12-30T20:41:00"/>
    <n v="35"/>
    <x v="1"/>
    <x v="32"/>
    <x v="0"/>
    <n v="3"/>
    <n v="30"/>
    <n v="13.5"/>
    <n v="90"/>
    <x v="0"/>
    <n v="5"/>
    <x v="7"/>
    <n v="7"/>
    <x v="0"/>
    <x v="3"/>
    <n v="76.5"/>
    <n v="0.85"/>
    <n v="0"/>
  </r>
  <r>
    <n v="1466"/>
    <d v="2023-01-16T00:00:00"/>
    <d v="1899-12-30T22:27:00"/>
    <n v="64"/>
    <x v="0"/>
    <x v="15"/>
    <x v="2"/>
    <n v="4"/>
    <n v="25"/>
    <n v="10.75"/>
    <n v="100"/>
    <x v="1"/>
    <n v="1"/>
    <x v="3"/>
    <n v="16"/>
    <x v="1"/>
    <x v="2"/>
    <n v="89.25"/>
    <n v="0.89249999999999996"/>
    <n v="0"/>
  </r>
  <r>
    <n v="583"/>
    <d v="2022-01-28T00:00:00"/>
    <d v="1899-12-30T19:44:00"/>
    <n v="131"/>
    <x v="1"/>
    <x v="24"/>
    <x v="2"/>
    <n v="4"/>
    <n v="25"/>
    <n v="7.75"/>
    <n v="100"/>
    <x v="0"/>
    <n v="1"/>
    <x v="3"/>
    <n v="28"/>
    <x v="3"/>
    <x v="2"/>
    <n v="92.25"/>
    <n v="0.92249999999999999"/>
    <n v="0"/>
  </r>
  <r>
    <n v="654"/>
    <d v="2023-08-14T00:00:00"/>
    <d v="1899-12-30T17:40:00"/>
    <n v="92"/>
    <x v="0"/>
    <x v="25"/>
    <x v="0"/>
    <n v="3"/>
    <n v="25"/>
    <n v="9.25"/>
    <n v="75"/>
    <x v="1"/>
    <n v="8"/>
    <x v="4"/>
    <n v="14"/>
    <x v="1"/>
    <x v="1"/>
    <n v="65.75"/>
    <n v="0.87666666699999996"/>
    <n v="0"/>
  </r>
  <r>
    <n v="1583"/>
    <d v="2023-11-12T00:00:00"/>
    <d v="1899-12-30T22:54:00"/>
    <n v="102"/>
    <x v="1"/>
    <x v="24"/>
    <x v="2"/>
    <n v="4"/>
    <n v="25"/>
    <n v="13"/>
    <n v="100"/>
    <x v="1"/>
    <n v="11"/>
    <x v="0"/>
    <n v="12"/>
    <x v="5"/>
    <x v="0"/>
    <n v="87"/>
    <n v="0.87"/>
    <n v="0"/>
  </r>
  <r>
    <n v="1654"/>
    <d v="2023-10-13T00:00:00"/>
    <d v="1899-12-30T20:47:00"/>
    <n v="111"/>
    <x v="0"/>
    <x v="25"/>
    <x v="0"/>
    <n v="3"/>
    <n v="25"/>
    <n v="6.25"/>
    <n v="75"/>
    <x v="1"/>
    <n v="10"/>
    <x v="5"/>
    <n v="13"/>
    <x v="3"/>
    <x v="0"/>
    <n v="68.75"/>
    <n v="0.91666666699999999"/>
    <n v="0"/>
  </r>
  <r>
    <n v="40"/>
    <d v="2022-06-07T00:00:00"/>
    <d v="1899-12-30T21:33:00"/>
    <n v="78"/>
    <x v="0"/>
    <x v="14"/>
    <x v="1"/>
    <n v="1"/>
    <n v="50"/>
    <n v="24.5"/>
    <n v="50"/>
    <x v="0"/>
    <n v="6"/>
    <x v="11"/>
    <n v="7"/>
    <x v="6"/>
    <x v="3"/>
    <n v="25.5"/>
    <n v="0.51"/>
    <n v="0"/>
  </r>
  <r>
    <n v="699"/>
    <d v="2022-11-21T00:00:00"/>
    <d v="1899-12-30T22:21:00"/>
    <n v="129"/>
    <x v="1"/>
    <x v="5"/>
    <x v="0"/>
    <n v="4"/>
    <n v="30"/>
    <n v="16.2"/>
    <n v="120"/>
    <x v="0"/>
    <n v="11"/>
    <x v="0"/>
    <n v="21"/>
    <x v="1"/>
    <x v="0"/>
    <n v="103.8"/>
    <n v="0.86499999999999999"/>
    <n v="0"/>
  </r>
  <r>
    <n v="727"/>
    <d v="2023-11-15T00:00:00"/>
    <d v="1899-12-30T18:37:00"/>
    <n v="32"/>
    <x v="0"/>
    <x v="46"/>
    <x v="1"/>
    <n v="3"/>
    <n v="300"/>
    <n v="105"/>
    <n v="900"/>
    <x v="1"/>
    <n v="11"/>
    <x v="0"/>
    <n v="15"/>
    <x v="4"/>
    <x v="0"/>
    <n v="795"/>
    <n v="0.88333333300000005"/>
    <n v="1"/>
  </r>
  <r>
    <n v="830"/>
    <d v="2022-09-29T00:00:00"/>
    <d v="1899-12-30T20:19:00"/>
    <n v="77"/>
    <x v="1"/>
    <x v="3"/>
    <x v="0"/>
    <n v="3"/>
    <n v="50"/>
    <n v="18.5"/>
    <n v="150"/>
    <x v="0"/>
    <n v="9"/>
    <x v="9"/>
    <n v="29"/>
    <x v="2"/>
    <x v="1"/>
    <n v="131.5"/>
    <n v="0.87666666699999996"/>
    <n v="1"/>
  </r>
  <r>
    <n v="1040"/>
    <d v="2023-12-12T00:00:00"/>
    <d v="1899-12-30T21:24:00"/>
    <n v="112"/>
    <x v="0"/>
    <x v="14"/>
    <x v="1"/>
    <n v="1"/>
    <n v="50"/>
    <n v="21"/>
    <n v="50"/>
    <x v="1"/>
    <n v="12"/>
    <x v="2"/>
    <n v="12"/>
    <x v="6"/>
    <x v="0"/>
    <n v="29"/>
    <n v="0.57999999999999996"/>
    <n v="0"/>
  </r>
  <r>
    <n v="1699"/>
    <d v="2023-07-29T00:00:00"/>
    <d v="1899-12-30T21:45:00"/>
    <n v="23"/>
    <x v="1"/>
    <x v="5"/>
    <x v="0"/>
    <n v="4"/>
    <n v="30"/>
    <n v="12.9"/>
    <n v="120"/>
    <x v="1"/>
    <n v="7"/>
    <x v="1"/>
    <n v="29"/>
    <x v="0"/>
    <x v="1"/>
    <n v="107.1"/>
    <n v="0.89249999999999996"/>
    <n v="0"/>
  </r>
  <r>
    <n v="1727"/>
    <d v="2023-08-08T00:00:00"/>
    <d v="1899-12-30T21:06:00"/>
    <n v="72"/>
    <x v="0"/>
    <x v="46"/>
    <x v="1"/>
    <n v="3"/>
    <n v="300"/>
    <n v="75"/>
    <n v="900"/>
    <x v="1"/>
    <n v="8"/>
    <x v="4"/>
    <n v="8"/>
    <x v="6"/>
    <x v="1"/>
    <n v="825"/>
    <n v="0.91666666699999999"/>
    <n v="1"/>
  </r>
  <r>
    <n v="1830"/>
    <d v="2023-03-04T00:00:00"/>
    <d v="1899-12-30T18:04:00"/>
    <n v="87"/>
    <x v="1"/>
    <x v="3"/>
    <x v="0"/>
    <n v="3"/>
    <n v="50"/>
    <n v="21"/>
    <n v="150"/>
    <x v="1"/>
    <n v="3"/>
    <x v="8"/>
    <n v="4"/>
    <x v="0"/>
    <x v="2"/>
    <n v="129"/>
    <n v="0.86"/>
    <n v="1"/>
  </r>
  <r>
    <n v="224"/>
    <d v="2022-11-11T00:00:00"/>
    <d v="1899-12-30T21:32:00"/>
    <n v="99"/>
    <x v="1"/>
    <x v="38"/>
    <x v="0"/>
    <n v="1"/>
    <n v="50"/>
    <n v="24"/>
    <n v="50"/>
    <x v="0"/>
    <n v="11"/>
    <x v="0"/>
    <n v="11"/>
    <x v="3"/>
    <x v="0"/>
    <n v="26"/>
    <n v="0.52"/>
    <n v="0"/>
  </r>
  <r>
    <n v="271"/>
    <d v="2023-09-12T00:00:00"/>
    <d v="1899-12-30T18:23:00"/>
    <n v="44"/>
    <x v="1"/>
    <x v="44"/>
    <x v="1"/>
    <n v="4"/>
    <n v="30"/>
    <n v="9.3000000000000007"/>
    <n v="120"/>
    <x v="1"/>
    <n v="9"/>
    <x v="9"/>
    <n v="12"/>
    <x v="6"/>
    <x v="1"/>
    <n v="110.7"/>
    <n v="0.92249999999999999"/>
    <n v="0"/>
  </r>
  <r>
    <n v="1224"/>
    <d v="2022-01-20T00:00:00"/>
    <d v="1899-12-30T17:10:00"/>
    <n v="103"/>
    <x v="1"/>
    <x v="38"/>
    <x v="0"/>
    <n v="1"/>
    <n v="50"/>
    <n v="20"/>
    <n v="50"/>
    <x v="0"/>
    <n v="1"/>
    <x v="3"/>
    <n v="20"/>
    <x v="2"/>
    <x v="2"/>
    <n v="30"/>
    <n v="0.6"/>
    <n v="0"/>
  </r>
  <r>
    <n v="1271"/>
    <d v="2022-01-19T00:00:00"/>
    <d v="1899-12-30T19:31:00"/>
    <n v="27"/>
    <x v="1"/>
    <x v="44"/>
    <x v="1"/>
    <n v="4"/>
    <n v="30"/>
    <n v="9"/>
    <n v="120"/>
    <x v="0"/>
    <n v="1"/>
    <x v="3"/>
    <n v="19"/>
    <x v="4"/>
    <x v="2"/>
    <n v="111"/>
    <n v="0.92500000000000004"/>
    <n v="0"/>
  </r>
  <r>
    <n v="36"/>
    <d v="2023-02-22T00:00:00"/>
    <d v="1899-12-30T22:06:00"/>
    <n v="40"/>
    <x v="0"/>
    <x v="41"/>
    <x v="1"/>
    <n v="3"/>
    <n v="300"/>
    <n v="144"/>
    <n v="900"/>
    <x v="1"/>
    <n v="2"/>
    <x v="10"/>
    <n v="22"/>
    <x v="4"/>
    <x v="2"/>
    <n v="756"/>
    <n v="0.84"/>
    <n v="1"/>
  </r>
  <r>
    <n v="157"/>
    <d v="2022-05-15T00:00:00"/>
    <d v="1899-12-30T21:59:00"/>
    <n v="98"/>
    <x v="0"/>
    <x v="44"/>
    <x v="2"/>
    <n v="4"/>
    <n v="500"/>
    <n v="170"/>
    <n v="2000"/>
    <x v="0"/>
    <n v="5"/>
    <x v="7"/>
    <n v="15"/>
    <x v="5"/>
    <x v="3"/>
    <n v="1830"/>
    <n v="0.91500000000000004"/>
    <n v="1"/>
  </r>
  <r>
    <n v="796"/>
    <d v="2022-10-01T00:00:00"/>
    <d v="1899-12-30T19:50:00"/>
    <n v="38"/>
    <x v="0"/>
    <x v="22"/>
    <x v="1"/>
    <n v="4"/>
    <n v="30"/>
    <n v="7.8"/>
    <n v="120"/>
    <x v="0"/>
    <n v="10"/>
    <x v="5"/>
    <n v="1"/>
    <x v="0"/>
    <x v="0"/>
    <n v="112.2"/>
    <n v="0.93500000000000005"/>
    <n v="0"/>
  </r>
  <r>
    <n v="839"/>
    <d v="2023-11-11T00:00:00"/>
    <d v="1899-12-30T21:02:00"/>
    <n v="130"/>
    <x v="1"/>
    <x v="36"/>
    <x v="2"/>
    <n v="4"/>
    <n v="300"/>
    <n v="96"/>
    <n v="1200"/>
    <x v="1"/>
    <n v="11"/>
    <x v="0"/>
    <n v="11"/>
    <x v="0"/>
    <x v="0"/>
    <n v="1104"/>
    <n v="0.92"/>
    <n v="1"/>
  </r>
  <r>
    <n v="927"/>
    <d v="2022-02-21T00:00:00"/>
    <d v="1899-12-30T17:13:00"/>
    <n v="83"/>
    <x v="0"/>
    <x v="22"/>
    <x v="2"/>
    <n v="4"/>
    <n v="500"/>
    <n v="250"/>
    <n v="2000"/>
    <x v="0"/>
    <n v="2"/>
    <x v="10"/>
    <n v="21"/>
    <x v="1"/>
    <x v="2"/>
    <n v="1750"/>
    <n v="0.875"/>
    <n v="1"/>
  </r>
  <r>
    <n v="1036"/>
    <d v="2022-08-17T00:00:00"/>
    <d v="1899-12-30T18:03:00"/>
    <n v="121"/>
    <x v="0"/>
    <x v="41"/>
    <x v="1"/>
    <n v="3"/>
    <n v="300"/>
    <n v="117"/>
    <n v="900"/>
    <x v="0"/>
    <n v="8"/>
    <x v="4"/>
    <n v="17"/>
    <x v="4"/>
    <x v="1"/>
    <n v="783"/>
    <n v="0.87"/>
    <n v="1"/>
  </r>
  <r>
    <n v="1157"/>
    <d v="2022-12-23T00:00:00"/>
    <d v="1899-12-30T21:24:00"/>
    <n v="81"/>
    <x v="0"/>
    <x v="44"/>
    <x v="2"/>
    <n v="4"/>
    <n v="500"/>
    <n v="270"/>
    <n v="2000"/>
    <x v="0"/>
    <n v="12"/>
    <x v="2"/>
    <n v="23"/>
    <x v="3"/>
    <x v="0"/>
    <n v="1730"/>
    <n v="0.86499999999999999"/>
    <n v="1"/>
  </r>
  <r>
    <n v="1796"/>
    <d v="2023-11-12T00:00:00"/>
    <d v="1899-12-30T18:36:00"/>
    <n v="69"/>
    <x v="0"/>
    <x v="22"/>
    <x v="1"/>
    <n v="4"/>
    <n v="30"/>
    <n v="11.1"/>
    <n v="120"/>
    <x v="1"/>
    <n v="11"/>
    <x v="0"/>
    <n v="12"/>
    <x v="5"/>
    <x v="0"/>
    <n v="108.9"/>
    <n v="0.90749999999999997"/>
    <n v="0"/>
  </r>
  <r>
    <n v="1839"/>
    <d v="2022-08-28T00:00:00"/>
    <d v="1899-12-30T21:57:00"/>
    <n v="92"/>
    <x v="1"/>
    <x v="36"/>
    <x v="2"/>
    <n v="4"/>
    <n v="300"/>
    <n v="156"/>
    <n v="1200"/>
    <x v="0"/>
    <n v="8"/>
    <x v="4"/>
    <n v="28"/>
    <x v="5"/>
    <x v="1"/>
    <n v="1044"/>
    <n v="0.87"/>
    <n v="1"/>
  </r>
  <r>
    <n v="1927"/>
    <d v="2023-09-06T00:00:00"/>
    <d v="1899-12-30T19:44:00"/>
    <n v="46"/>
    <x v="0"/>
    <x v="22"/>
    <x v="2"/>
    <n v="4"/>
    <n v="500"/>
    <n v="180"/>
    <n v="2000"/>
    <x v="1"/>
    <n v="9"/>
    <x v="9"/>
    <n v="6"/>
    <x v="4"/>
    <x v="1"/>
    <n v="1820"/>
    <n v="0.91"/>
    <n v="1"/>
  </r>
  <r>
    <n v="407"/>
    <d v="2022-07-16T00:00:00"/>
    <d v="1899-12-30T22:17:00"/>
    <n v="117"/>
    <x v="1"/>
    <x v="1"/>
    <x v="2"/>
    <n v="3"/>
    <n v="300"/>
    <n v="138"/>
    <n v="900"/>
    <x v="0"/>
    <n v="7"/>
    <x v="1"/>
    <n v="16"/>
    <x v="0"/>
    <x v="1"/>
    <n v="762"/>
    <n v="0.84666666700000004"/>
    <n v="1"/>
  </r>
  <r>
    <n v="1407"/>
    <d v="2022-04-10T00:00:00"/>
    <d v="1899-12-30T19:41:00"/>
    <n v="54"/>
    <x v="1"/>
    <x v="1"/>
    <x v="2"/>
    <n v="3"/>
    <n v="300"/>
    <n v="120"/>
    <n v="900"/>
    <x v="0"/>
    <n v="4"/>
    <x v="6"/>
    <n v="10"/>
    <x v="5"/>
    <x v="3"/>
    <n v="780"/>
    <n v="0.86666666699999995"/>
    <n v="1"/>
  </r>
  <r>
    <n v="46"/>
    <d v="2022-11-08T00:00:00"/>
    <d v="1899-12-30T17:50:00"/>
    <n v="54"/>
    <x v="1"/>
    <x v="36"/>
    <x v="2"/>
    <n v="4"/>
    <n v="300"/>
    <n v="84"/>
    <n v="1200"/>
    <x v="0"/>
    <n v="11"/>
    <x v="0"/>
    <n v="8"/>
    <x v="6"/>
    <x v="0"/>
    <n v="1116"/>
    <n v="0.93"/>
    <n v="1"/>
  </r>
  <r>
    <n v="509"/>
    <d v="2023-07-10T00:00:00"/>
    <d v="1899-12-30T19:35:00"/>
    <n v="70"/>
    <x v="1"/>
    <x v="5"/>
    <x v="2"/>
    <n v="3"/>
    <n v="300"/>
    <n v="141"/>
    <n v="900"/>
    <x v="1"/>
    <n v="7"/>
    <x v="1"/>
    <n v="10"/>
    <x v="1"/>
    <x v="1"/>
    <n v="759"/>
    <n v="0.84333333300000002"/>
    <n v="1"/>
  </r>
  <r>
    <n v="874"/>
    <d v="2022-01-17T00:00:00"/>
    <d v="1899-12-30T18:14:00"/>
    <n v="90"/>
    <x v="0"/>
    <x v="13"/>
    <x v="1"/>
    <n v="1"/>
    <n v="30"/>
    <n v="12.6"/>
    <n v="30"/>
    <x v="0"/>
    <n v="1"/>
    <x v="3"/>
    <n v="17"/>
    <x v="1"/>
    <x v="2"/>
    <n v="17.399999999999999"/>
    <n v="0.57999999999999996"/>
    <n v="0"/>
  </r>
  <r>
    <n v="1046"/>
    <d v="2023-07-21T00:00:00"/>
    <d v="1899-12-30T21:47:00"/>
    <n v="5"/>
    <x v="1"/>
    <x v="36"/>
    <x v="2"/>
    <n v="4"/>
    <n v="300"/>
    <n v="156"/>
    <n v="1200"/>
    <x v="1"/>
    <n v="7"/>
    <x v="1"/>
    <n v="21"/>
    <x v="3"/>
    <x v="1"/>
    <n v="1044"/>
    <n v="0.87"/>
    <n v="1"/>
  </r>
  <r>
    <n v="1509"/>
    <d v="2022-11-25T00:00:00"/>
    <d v="1899-12-30T20:40:00"/>
    <n v="67"/>
    <x v="1"/>
    <x v="5"/>
    <x v="2"/>
    <n v="3"/>
    <n v="300"/>
    <n v="129"/>
    <n v="900"/>
    <x v="0"/>
    <n v="11"/>
    <x v="0"/>
    <n v="25"/>
    <x v="3"/>
    <x v="0"/>
    <n v="771"/>
    <n v="0.85666666700000005"/>
    <n v="1"/>
  </r>
  <r>
    <n v="1874"/>
    <d v="2022-05-14T00:00:00"/>
    <d v="1899-12-30T20:58:00"/>
    <n v="126"/>
    <x v="0"/>
    <x v="13"/>
    <x v="1"/>
    <n v="1"/>
    <n v="30"/>
    <n v="12.6"/>
    <n v="30"/>
    <x v="0"/>
    <n v="5"/>
    <x v="7"/>
    <n v="14"/>
    <x v="0"/>
    <x v="3"/>
    <n v="17.399999999999999"/>
    <n v="0.57999999999999996"/>
    <n v="0"/>
  </r>
  <r>
    <n v="788"/>
    <d v="2022-06-20T00:00:00"/>
    <d v="1899-12-30T18:54:00"/>
    <n v="90"/>
    <x v="1"/>
    <x v="41"/>
    <x v="1"/>
    <n v="3"/>
    <n v="300"/>
    <n v="105"/>
    <n v="900"/>
    <x v="0"/>
    <n v="6"/>
    <x v="11"/>
    <n v="20"/>
    <x v="1"/>
    <x v="3"/>
    <n v="795"/>
    <n v="0.88333333300000005"/>
    <n v="1"/>
  </r>
  <r>
    <n v="1788"/>
    <d v="2022-05-03T00:00:00"/>
    <d v="1899-12-30T20:35:00"/>
    <n v="98"/>
    <x v="1"/>
    <x v="41"/>
    <x v="1"/>
    <n v="3"/>
    <n v="300"/>
    <n v="150"/>
    <n v="900"/>
    <x v="0"/>
    <n v="5"/>
    <x v="7"/>
    <n v="3"/>
    <x v="6"/>
    <x v="3"/>
    <n v="750"/>
    <n v="0.83333333300000001"/>
    <n v="1"/>
  </r>
  <r>
    <n v="378"/>
    <d v="2022-11-03T00:00:00"/>
    <d v="1899-12-30T18:16:00"/>
    <n v="81"/>
    <x v="0"/>
    <x v="20"/>
    <x v="1"/>
    <n v="1"/>
    <n v="300"/>
    <n v="165"/>
    <n v="300"/>
    <x v="0"/>
    <n v="11"/>
    <x v="0"/>
    <n v="3"/>
    <x v="2"/>
    <x v="0"/>
    <n v="135"/>
    <n v="0.45"/>
    <n v="1"/>
  </r>
  <r>
    <n v="1378"/>
    <d v="2022-04-28T00:00:00"/>
    <d v="1899-12-30T21:56:00"/>
    <n v="27"/>
    <x v="0"/>
    <x v="20"/>
    <x v="1"/>
    <n v="1"/>
    <n v="300"/>
    <n v="132"/>
    <n v="300"/>
    <x v="0"/>
    <n v="4"/>
    <x v="6"/>
    <n v="28"/>
    <x v="2"/>
    <x v="3"/>
    <n v="168"/>
    <n v="0.56000000000000005"/>
    <n v="1"/>
  </r>
  <r>
    <n v="480"/>
    <d v="2022-12-22T00:00:00"/>
    <d v="1899-12-30T22:12:00"/>
    <n v="126"/>
    <x v="1"/>
    <x v="25"/>
    <x v="1"/>
    <n v="4"/>
    <n v="500"/>
    <n v="225"/>
    <n v="2000"/>
    <x v="0"/>
    <n v="12"/>
    <x v="2"/>
    <n v="22"/>
    <x v="2"/>
    <x v="0"/>
    <n v="1775"/>
    <n v="0.88749999999999996"/>
    <n v="1"/>
  </r>
  <r>
    <n v="492"/>
    <d v="2023-12-16T00:00:00"/>
    <d v="1899-12-30T17:52:00"/>
    <n v="4"/>
    <x v="0"/>
    <x v="45"/>
    <x v="1"/>
    <n v="4"/>
    <n v="25"/>
    <n v="6.5"/>
    <n v="100"/>
    <x v="1"/>
    <n v="12"/>
    <x v="2"/>
    <n v="16"/>
    <x v="0"/>
    <x v="0"/>
    <n v="93.5"/>
    <n v="0.93500000000000005"/>
    <n v="0"/>
  </r>
  <r>
    <n v="737"/>
    <d v="2023-03-23T00:00:00"/>
    <d v="1899-12-30T21:11:00"/>
    <n v="26"/>
    <x v="1"/>
    <x v="19"/>
    <x v="0"/>
    <n v="1"/>
    <n v="50"/>
    <n v="14"/>
    <n v="50"/>
    <x v="1"/>
    <n v="3"/>
    <x v="8"/>
    <n v="23"/>
    <x v="2"/>
    <x v="2"/>
    <n v="36"/>
    <n v="0.72"/>
    <n v="0"/>
  </r>
  <r>
    <n v="1480"/>
    <d v="2023-11-26T00:00:00"/>
    <d v="1899-12-30T18:05:00"/>
    <n v="3"/>
    <x v="1"/>
    <x v="25"/>
    <x v="1"/>
    <n v="4"/>
    <n v="500"/>
    <n v="165"/>
    <n v="2000"/>
    <x v="1"/>
    <n v="11"/>
    <x v="0"/>
    <n v="26"/>
    <x v="5"/>
    <x v="0"/>
    <n v="1835"/>
    <n v="0.91749999999999998"/>
    <n v="1"/>
  </r>
  <r>
    <n v="1492"/>
    <d v="2023-08-26T00:00:00"/>
    <d v="1899-12-30T22:09:00"/>
    <n v="146"/>
    <x v="0"/>
    <x v="45"/>
    <x v="1"/>
    <n v="4"/>
    <n v="25"/>
    <n v="10"/>
    <n v="100"/>
    <x v="1"/>
    <n v="8"/>
    <x v="4"/>
    <n v="26"/>
    <x v="0"/>
    <x v="1"/>
    <n v="90"/>
    <n v="0.9"/>
    <n v="0"/>
  </r>
  <r>
    <n v="1737"/>
    <d v="2022-11-14T00:00:00"/>
    <d v="1899-12-30T22:32:00"/>
    <n v="40"/>
    <x v="1"/>
    <x v="19"/>
    <x v="0"/>
    <n v="1"/>
    <n v="50"/>
    <n v="14"/>
    <n v="50"/>
    <x v="0"/>
    <n v="11"/>
    <x v="0"/>
    <n v="14"/>
    <x v="1"/>
    <x v="0"/>
    <n v="36"/>
    <n v="0.72"/>
    <n v="0"/>
  </r>
  <r>
    <n v="684"/>
    <d v="2023-06-20T00:00:00"/>
    <d v="1899-12-30T18:02:00"/>
    <n v="54"/>
    <x v="1"/>
    <x v="32"/>
    <x v="0"/>
    <n v="2"/>
    <n v="500"/>
    <n v="225"/>
    <n v="1000"/>
    <x v="1"/>
    <n v="6"/>
    <x v="11"/>
    <n v="20"/>
    <x v="6"/>
    <x v="3"/>
    <n v="775"/>
    <n v="0.77500000000000002"/>
    <n v="1"/>
  </r>
  <r>
    <n v="878"/>
    <d v="2023-10-26T00:00:00"/>
    <d v="1899-12-30T18:53:00"/>
    <n v="31"/>
    <x v="1"/>
    <x v="36"/>
    <x v="0"/>
    <n v="1"/>
    <n v="30"/>
    <n v="11.7"/>
    <n v="30"/>
    <x v="1"/>
    <n v="10"/>
    <x v="5"/>
    <n v="26"/>
    <x v="2"/>
    <x v="0"/>
    <n v="18.3"/>
    <n v="0.61"/>
    <n v="0"/>
  </r>
  <r>
    <n v="1684"/>
    <d v="2023-01-23T00:00:00"/>
    <d v="1899-12-30T21:40:00"/>
    <n v="43"/>
    <x v="1"/>
    <x v="32"/>
    <x v="0"/>
    <n v="2"/>
    <n v="500"/>
    <n v="200"/>
    <n v="1000"/>
    <x v="1"/>
    <n v="1"/>
    <x v="3"/>
    <n v="23"/>
    <x v="1"/>
    <x v="2"/>
    <n v="800"/>
    <n v="0.8"/>
    <n v="1"/>
  </r>
  <r>
    <n v="1878"/>
    <d v="2023-01-24T00:00:00"/>
    <d v="1899-12-30T22:56:00"/>
    <n v="97"/>
    <x v="1"/>
    <x v="36"/>
    <x v="0"/>
    <n v="1"/>
    <n v="30"/>
    <n v="7.5"/>
    <n v="30"/>
    <x v="1"/>
    <n v="1"/>
    <x v="3"/>
    <n v="24"/>
    <x v="6"/>
    <x v="2"/>
    <n v="22.5"/>
    <n v="0.75"/>
    <n v="0"/>
  </r>
  <r>
    <n v="78"/>
    <d v="2023-02-17T00:00:00"/>
    <d v="1899-12-30T21:08:00"/>
    <n v="68"/>
    <x v="1"/>
    <x v="35"/>
    <x v="0"/>
    <n v="3"/>
    <n v="500"/>
    <n v="265"/>
    <n v="1500"/>
    <x v="1"/>
    <n v="2"/>
    <x v="10"/>
    <n v="17"/>
    <x v="3"/>
    <x v="2"/>
    <n v="1235"/>
    <n v="0.823333333"/>
    <n v="1"/>
  </r>
  <r>
    <n v="260"/>
    <d v="2023-01-19T00:00:00"/>
    <d v="1899-12-30T21:09:00"/>
    <n v="107"/>
    <x v="0"/>
    <x v="32"/>
    <x v="1"/>
    <n v="2"/>
    <n v="30"/>
    <n v="10.5"/>
    <n v="60"/>
    <x v="1"/>
    <n v="1"/>
    <x v="3"/>
    <n v="19"/>
    <x v="2"/>
    <x v="2"/>
    <n v="49.5"/>
    <n v="0.82499999999999996"/>
    <n v="0"/>
  </r>
  <r>
    <n v="455"/>
    <d v="2023-11-21T00:00:00"/>
    <d v="1899-12-30T19:15:00"/>
    <n v="134"/>
    <x v="0"/>
    <x v="16"/>
    <x v="2"/>
    <n v="4"/>
    <n v="25"/>
    <n v="13.25"/>
    <n v="100"/>
    <x v="1"/>
    <n v="11"/>
    <x v="0"/>
    <n v="21"/>
    <x v="6"/>
    <x v="0"/>
    <n v="86.75"/>
    <n v="0.86750000000000005"/>
    <n v="0"/>
  </r>
  <r>
    <n v="837"/>
    <d v="2023-01-15T00:00:00"/>
    <d v="1899-12-30T20:35:00"/>
    <n v="53"/>
    <x v="0"/>
    <x v="18"/>
    <x v="1"/>
    <n v="3"/>
    <n v="30"/>
    <n v="7.5"/>
    <n v="90"/>
    <x v="1"/>
    <n v="1"/>
    <x v="3"/>
    <n v="15"/>
    <x v="5"/>
    <x v="2"/>
    <n v="82.5"/>
    <n v="0.91666666699999999"/>
    <n v="0"/>
  </r>
  <r>
    <n v="1078"/>
    <d v="2023-05-04T00:00:00"/>
    <d v="1899-12-30T22:20:00"/>
    <n v="16"/>
    <x v="1"/>
    <x v="35"/>
    <x v="0"/>
    <n v="3"/>
    <n v="500"/>
    <n v="125"/>
    <n v="1500"/>
    <x v="1"/>
    <n v="5"/>
    <x v="7"/>
    <n v="4"/>
    <x v="2"/>
    <x v="3"/>
    <n v="1375"/>
    <n v="0.91666666699999999"/>
    <n v="1"/>
  </r>
  <r>
    <n v="1260"/>
    <d v="2023-07-19T00:00:00"/>
    <d v="1899-12-30T17:26:00"/>
    <n v="117"/>
    <x v="0"/>
    <x v="32"/>
    <x v="1"/>
    <n v="2"/>
    <n v="30"/>
    <n v="13.5"/>
    <n v="60"/>
    <x v="1"/>
    <n v="7"/>
    <x v="1"/>
    <n v="19"/>
    <x v="4"/>
    <x v="1"/>
    <n v="46.5"/>
    <n v="0.77500000000000002"/>
    <n v="0"/>
  </r>
  <r>
    <n v="1455"/>
    <d v="2022-08-27T00:00:00"/>
    <d v="1899-12-30T21:35:00"/>
    <n v="32"/>
    <x v="0"/>
    <x v="16"/>
    <x v="2"/>
    <n v="4"/>
    <n v="25"/>
    <n v="13.75"/>
    <n v="100"/>
    <x v="0"/>
    <n v="8"/>
    <x v="4"/>
    <n v="27"/>
    <x v="0"/>
    <x v="1"/>
    <n v="86.25"/>
    <n v="0.86250000000000004"/>
    <n v="0"/>
  </r>
  <r>
    <n v="1837"/>
    <d v="2023-03-29T00:00:00"/>
    <d v="1899-12-30T20:45:00"/>
    <n v="32"/>
    <x v="0"/>
    <x v="18"/>
    <x v="1"/>
    <n v="3"/>
    <n v="30"/>
    <n v="8.1"/>
    <n v="90"/>
    <x v="1"/>
    <n v="3"/>
    <x v="8"/>
    <n v="29"/>
    <x v="4"/>
    <x v="2"/>
    <n v="81.900000000000006"/>
    <n v="0.91"/>
    <n v="0"/>
  </r>
  <r>
    <n v="45"/>
    <d v="2022-03-20T00:00:00"/>
    <d v="1899-12-30T18:27:00"/>
    <n v="121"/>
    <x v="1"/>
    <x v="46"/>
    <x v="2"/>
    <n v="1"/>
    <n v="30"/>
    <n v="10.5"/>
    <n v="30"/>
    <x v="0"/>
    <n v="3"/>
    <x v="8"/>
    <n v="20"/>
    <x v="5"/>
    <x v="2"/>
    <n v="19.5"/>
    <n v="0.65"/>
    <n v="0"/>
  </r>
  <r>
    <n v="449"/>
    <d v="2022-01-03T00:00:00"/>
    <d v="1899-12-30T18:28:00"/>
    <n v="58"/>
    <x v="0"/>
    <x v="38"/>
    <x v="2"/>
    <n v="4"/>
    <n v="50"/>
    <n v="26.5"/>
    <n v="200"/>
    <x v="0"/>
    <n v="1"/>
    <x v="3"/>
    <n v="3"/>
    <x v="1"/>
    <x v="2"/>
    <n v="173.5"/>
    <n v="0.86750000000000005"/>
    <n v="1"/>
  </r>
  <r>
    <n v="1045"/>
    <d v="2022-02-26T00:00:00"/>
    <d v="1899-12-30T17:28:00"/>
    <n v="110"/>
    <x v="1"/>
    <x v="46"/>
    <x v="2"/>
    <n v="1"/>
    <n v="30"/>
    <n v="9.9"/>
    <n v="30"/>
    <x v="0"/>
    <n v="2"/>
    <x v="10"/>
    <n v="26"/>
    <x v="0"/>
    <x v="2"/>
    <n v="20.100000000000001"/>
    <n v="0.67"/>
    <n v="0"/>
  </r>
  <r>
    <n v="1449"/>
    <d v="2022-04-26T00:00:00"/>
    <d v="1899-12-30T18:42:00"/>
    <n v="12"/>
    <x v="0"/>
    <x v="38"/>
    <x v="2"/>
    <n v="4"/>
    <n v="50"/>
    <n v="23.5"/>
    <n v="200"/>
    <x v="0"/>
    <n v="4"/>
    <x v="6"/>
    <n v="26"/>
    <x v="6"/>
    <x v="3"/>
    <n v="176.5"/>
    <n v="0.88249999999999995"/>
    <n v="1"/>
  </r>
  <r>
    <n v="904"/>
    <d v="2022-04-01T00:00:00"/>
    <d v="1899-12-30T20:26:00"/>
    <n v="43"/>
    <x v="0"/>
    <x v="32"/>
    <x v="0"/>
    <n v="1"/>
    <n v="500"/>
    <n v="160"/>
    <n v="500"/>
    <x v="0"/>
    <n v="4"/>
    <x v="6"/>
    <n v="1"/>
    <x v="3"/>
    <x v="3"/>
    <n v="340"/>
    <n v="0.68"/>
    <n v="1"/>
  </r>
  <r>
    <n v="1904"/>
    <d v="2022-11-25T00:00:00"/>
    <d v="1899-12-30T19:41:00"/>
    <n v="117"/>
    <x v="0"/>
    <x v="32"/>
    <x v="0"/>
    <n v="1"/>
    <n v="500"/>
    <n v="220"/>
    <n v="500"/>
    <x v="0"/>
    <n v="11"/>
    <x v="0"/>
    <n v="25"/>
    <x v="3"/>
    <x v="0"/>
    <n v="280"/>
    <n v="0.56000000000000005"/>
    <n v="1"/>
  </r>
  <r>
    <n v="59"/>
    <d v="2022-11-14T00:00:00"/>
    <d v="1899-12-30T18:28:00"/>
    <n v="61"/>
    <x v="0"/>
    <x v="44"/>
    <x v="0"/>
    <n v="1"/>
    <n v="50"/>
    <n v="27"/>
    <n v="50"/>
    <x v="0"/>
    <n v="11"/>
    <x v="0"/>
    <n v="14"/>
    <x v="1"/>
    <x v="0"/>
    <n v="23"/>
    <n v="0.46"/>
    <n v="0"/>
  </r>
  <r>
    <n v="128"/>
    <d v="2022-12-21T00:00:00"/>
    <d v="1899-12-30T22:22:00"/>
    <n v="77"/>
    <x v="0"/>
    <x v="38"/>
    <x v="1"/>
    <n v="1"/>
    <n v="500"/>
    <n v="180"/>
    <n v="500"/>
    <x v="0"/>
    <n v="12"/>
    <x v="2"/>
    <n v="21"/>
    <x v="4"/>
    <x v="0"/>
    <n v="320"/>
    <n v="0.64"/>
    <n v="1"/>
  </r>
  <r>
    <n v="186"/>
    <d v="2022-03-31T00:00:00"/>
    <d v="1899-12-30T18:15:00"/>
    <n v="92"/>
    <x v="0"/>
    <x v="36"/>
    <x v="0"/>
    <n v="4"/>
    <n v="50"/>
    <n v="23.5"/>
    <n v="200"/>
    <x v="0"/>
    <n v="3"/>
    <x v="8"/>
    <n v="31"/>
    <x v="2"/>
    <x v="2"/>
    <n v="176.5"/>
    <n v="0.88249999999999995"/>
    <n v="1"/>
  </r>
  <r>
    <n v="802"/>
    <d v="2023-09-22T00:00:00"/>
    <d v="1899-12-30T18:00:00"/>
    <n v="57"/>
    <x v="1"/>
    <x v="1"/>
    <x v="1"/>
    <n v="1"/>
    <n v="30"/>
    <n v="9.9"/>
    <n v="30"/>
    <x v="1"/>
    <n v="9"/>
    <x v="9"/>
    <n v="22"/>
    <x v="3"/>
    <x v="1"/>
    <n v="20.100000000000001"/>
    <n v="0.67"/>
    <n v="0"/>
  </r>
  <r>
    <n v="1059"/>
    <d v="2022-07-12T00:00:00"/>
    <d v="1899-12-30T22:05:00"/>
    <n v="89"/>
    <x v="0"/>
    <x v="44"/>
    <x v="0"/>
    <n v="1"/>
    <n v="50"/>
    <n v="12.5"/>
    <n v="50"/>
    <x v="0"/>
    <n v="7"/>
    <x v="1"/>
    <n v="12"/>
    <x v="6"/>
    <x v="1"/>
    <n v="37.5"/>
    <n v="0.75"/>
    <n v="0"/>
  </r>
  <r>
    <n v="1128"/>
    <d v="2022-01-04T00:00:00"/>
    <d v="1899-12-30T17:35:00"/>
    <n v="60"/>
    <x v="0"/>
    <x v="38"/>
    <x v="1"/>
    <n v="1"/>
    <n v="500"/>
    <n v="135"/>
    <n v="500"/>
    <x v="0"/>
    <n v="1"/>
    <x v="3"/>
    <n v="4"/>
    <x v="6"/>
    <x v="2"/>
    <n v="365"/>
    <n v="0.73"/>
    <n v="1"/>
  </r>
  <r>
    <n v="1186"/>
    <d v="2023-09-10T00:00:00"/>
    <d v="1899-12-30T18:24:00"/>
    <n v="5"/>
    <x v="0"/>
    <x v="36"/>
    <x v="0"/>
    <n v="4"/>
    <n v="50"/>
    <n v="18.5"/>
    <n v="200"/>
    <x v="1"/>
    <n v="9"/>
    <x v="9"/>
    <n v="10"/>
    <x v="5"/>
    <x v="1"/>
    <n v="181.5"/>
    <n v="0.90749999999999997"/>
    <n v="1"/>
  </r>
  <r>
    <n v="1802"/>
    <d v="2022-07-13T00:00:00"/>
    <d v="1899-12-30T22:17:00"/>
    <n v="33"/>
    <x v="1"/>
    <x v="1"/>
    <x v="1"/>
    <n v="1"/>
    <n v="30"/>
    <n v="9.6"/>
    <n v="30"/>
    <x v="0"/>
    <n v="7"/>
    <x v="1"/>
    <n v="13"/>
    <x v="4"/>
    <x v="1"/>
    <n v="20.399999999999999"/>
    <n v="0.68"/>
    <n v="0"/>
  </r>
  <r>
    <n v="75"/>
    <d v="2023-05-15T00:00:00"/>
    <d v="1899-12-30T20:51:00"/>
    <n v="110"/>
    <x v="0"/>
    <x v="45"/>
    <x v="1"/>
    <n v="4"/>
    <n v="50"/>
    <n v="13.5"/>
    <n v="200"/>
    <x v="1"/>
    <n v="5"/>
    <x v="7"/>
    <n v="15"/>
    <x v="1"/>
    <x v="3"/>
    <n v="186.5"/>
    <n v="0.9325"/>
    <n v="1"/>
  </r>
  <r>
    <n v="447"/>
    <d v="2023-04-18T00:00:00"/>
    <d v="1899-12-30T17:57:00"/>
    <n v="37"/>
    <x v="0"/>
    <x v="30"/>
    <x v="1"/>
    <n v="4"/>
    <n v="500"/>
    <n v="245"/>
    <n v="2000"/>
    <x v="1"/>
    <n v="4"/>
    <x v="6"/>
    <n v="18"/>
    <x v="6"/>
    <x v="3"/>
    <n v="1755"/>
    <n v="0.87749999999999995"/>
    <n v="1"/>
  </r>
  <r>
    <n v="528"/>
    <d v="2023-12-11T00:00:00"/>
    <d v="1899-12-30T21:51:00"/>
    <n v="102"/>
    <x v="1"/>
    <x v="31"/>
    <x v="0"/>
    <n v="2"/>
    <n v="30"/>
    <n v="9.6"/>
    <n v="60"/>
    <x v="1"/>
    <n v="12"/>
    <x v="2"/>
    <n v="11"/>
    <x v="1"/>
    <x v="0"/>
    <n v="50.4"/>
    <n v="0.84"/>
    <n v="0"/>
  </r>
  <r>
    <n v="1075"/>
    <d v="2022-09-14T00:00:00"/>
    <d v="1899-12-30T19:17:00"/>
    <n v="92"/>
    <x v="0"/>
    <x v="45"/>
    <x v="1"/>
    <n v="4"/>
    <n v="50"/>
    <n v="21.5"/>
    <n v="200"/>
    <x v="0"/>
    <n v="9"/>
    <x v="9"/>
    <n v="14"/>
    <x v="4"/>
    <x v="1"/>
    <n v="178.5"/>
    <n v="0.89249999999999996"/>
    <n v="1"/>
  </r>
  <r>
    <n v="1447"/>
    <d v="2022-05-30T00:00:00"/>
    <d v="1899-12-30T22:21:00"/>
    <n v="137"/>
    <x v="0"/>
    <x v="30"/>
    <x v="1"/>
    <n v="4"/>
    <n v="500"/>
    <n v="155"/>
    <n v="2000"/>
    <x v="0"/>
    <n v="5"/>
    <x v="7"/>
    <n v="30"/>
    <x v="1"/>
    <x v="3"/>
    <n v="1845"/>
    <n v="0.92249999999999999"/>
    <n v="1"/>
  </r>
  <r>
    <n v="1528"/>
    <d v="2023-07-06T00:00:00"/>
    <d v="1899-12-30T19:44:00"/>
    <n v="126"/>
    <x v="1"/>
    <x v="31"/>
    <x v="0"/>
    <n v="2"/>
    <n v="30"/>
    <n v="12.3"/>
    <n v="60"/>
    <x v="1"/>
    <n v="7"/>
    <x v="1"/>
    <n v="6"/>
    <x v="2"/>
    <x v="1"/>
    <n v="47.7"/>
    <n v="0.79500000000000004"/>
    <n v="0"/>
  </r>
  <r>
    <n v="759"/>
    <d v="2023-05-23T00:00:00"/>
    <d v="1899-12-30T21:21:00"/>
    <n v="75"/>
    <x v="0"/>
    <x v="28"/>
    <x v="2"/>
    <n v="2"/>
    <n v="50"/>
    <n v="21.5"/>
    <n v="100"/>
    <x v="1"/>
    <n v="5"/>
    <x v="7"/>
    <n v="23"/>
    <x v="6"/>
    <x v="3"/>
    <n v="78.5"/>
    <n v="0.78500000000000003"/>
    <n v="0"/>
  </r>
  <r>
    <n v="870"/>
    <d v="2022-04-11T00:00:00"/>
    <d v="1899-12-30T19:41:00"/>
    <n v="16"/>
    <x v="1"/>
    <x v="1"/>
    <x v="2"/>
    <n v="4"/>
    <n v="30"/>
    <n v="11.1"/>
    <n v="120"/>
    <x v="0"/>
    <n v="4"/>
    <x v="6"/>
    <n v="11"/>
    <x v="1"/>
    <x v="3"/>
    <n v="108.9"/>
    <n v="0.90749999999999997"/>
    <n v="0"/>
  </r>
  <r>
    <n v="1759"/>
    <d v="2022-11-03T00:00:00"/>
    <d v="1899-12-30T17:27:00"/>
    <n v="102"/>
    <x v="0"/>
    <x v="28"/>
    <x v="2"/>
    <n v="2"/>
    <n v="50"/>
    <n v="23"/>
    <n v="100"/>
    <x v="0"/>
    <n v="11"/>
    <x v="0"/>
    <n v="3"/>
    <x v="2"/>
    <x v="0"/>
    <n v="77"/>
    <n v="0.77"/>
    <n v="0"/>
  </r>
  <r>
    <n v="1870"/>
    <d v="2023-11-09T00:00:00"/>
    <d v="1899-12-30T20:38:00"/>
    <n v="119"/>
    <x v="1"/>
    <x v="1"/>
    <x v="2"/>
    <n v="4"/>
    <n v="30"/>
    <n v="10.5"/>
    <n v="120"/>
    <x v="1"/>
    <n v="11"/>
    <x v="0"/>
    <n v="9"/>
    <x v="2"/>
    <x v="0"/>
    <n v="109.5"/>
    <n v="0.91249999999999998"/>
    <n v="0"/>
  </r>
  <r>
    <n v="77"/>
    <d v="2022-04-07T00:00:00"/>
    <d v="1899-12-30T20:45:00"/>
    <n v="44"/>
    <x v="1"/>
    <x v="35"/>
    <x v="0"/>
    <n v="2"/>
    <n v="50"/>
    <n v="24"/>
    <n v="100"/>
    <x v="0"/>
    <n v="4"/>
    <x v="6"/>
    <n v="7"/>
    <x v="2"/>
    <x v="3"/>
    <n v="76"/>
    <n v="0.76"/>
    <n v="0"/>
  </r>
  <r>
    <n v="381"/>
    <d v="2022-01-30T00:00:00"/>
    <d v="1899-12-30T19:05:00"/>
    <n v="63"/>
    <x v="1"/>
    <x v="47"/>
    <x v="0"/>
    <n v="4"/>
    <n v="25"/>
    <n v="12.25"/>
    <n v="100"/>
    <x v="0"/>
    <n v="1"/>
    <x v="3"/>
    <n v="30"/>
    <x v="5"/>
    <x v="2"/>
    <n v="87.75"/>
    <n v="0.87749999999999995"/>
    <n v="0"/>
  </r>
  <r>
    <n v="439"/>
    <d v="2022-05-06T00:00:00"/>
    <d v="1899-12-30T21:46:00"/>
    <n v="42"/>
    <x v="0"/>
    <x v="20"/>
    <x v="0"/>
    <n v="3"/>
    <n v="25"/>
    <n v="11.75"/>
    <n v="75"/>
    <x v="0"/>
    <n v="5"/>
    <x v="7"/>
    <n v="6"/>
    <x v="3"/>
    <x v="3"/>
    <n v="63.25"/>
    <n v="0.84333333300000002"/>
    <n v="0"/>
  </r>
  <r>
    <n v="792"/>
    <d v="2023-01-04T00:00:00"/>
    <d v="1899-12-30T22:50:00"/>
    <n v="4"/>
    <x v="1"/>
    <x v="36"/>
    <x v="1"/>
    <n v="1"/>
    <n v="50"/>
    <n v="26.5"/>
    <n v="50"/>
    <x v="1"/>
    <n v="1"/>
    <x v="3"/>
    <n v="4"/>
    <x v="4"/>
    <x v="2"/>
    <n v="23.5"/>
    <n v="0.47"/>
    <n v="0"/>
  </r>
  <r>
    <n v="1077"/>
    <d v="2022-12-16T00:00:00"/>
    <d v="1899-12-30T18:45:00"/>
    <n v="141"/>
    <x v="1"/>
    <x v="35"/>
    <x v="0"/>
    <n v="2"/>
    <n v="50"/>
    <n v="15"/>
    <n v="100"/>
    <x v="0"/>
    <n v="12"/>
    <x v="2"/>
    <n v="16"/>
    <x v="3"/>
    <x v="0"/>
    <n v="85"/>
    <n v="0.85"/>
    <n v="0"/>
  </r>
  <r>
    <n v="1381"/>
    <d v="2022-10-26T00:00:00"/>
    <d v="1899-12-30T17:26:00"/>
    <n v="48"/>
    <x v="1"/>
    <x v="47"/>
    <x v="0"/>
    <n v="4"/>
    <n v="25"/>
    <n v="7.75"/>
    <n v="100"/>
    <x v="0"/>
    <n v="10"/>
    <x v="5"/>
    <n v="26"/>
    <x v="4"/>
    <x v="0"/>
    <n v="92.25"/>
    <n v="0.92249999999999999"/>
    <n v="0"/>
  </r>
  <r>
    <n v="1439"/>
    <d v="2023-11-18T00:00:00"/>
    <d v="1899-12-30T20:53:00"/>
    <n v="76"/>
    <x v="0"/>
    <x v="20"/>
    <x v="0"/>
    <n v="3"/>
    <n v="25"/>
    <n v="7.25"/>
    <n v="75"/>
    <x v="1"/>
    <n v="11"/>
    <x v="0"/>
    <n v="18"/>
    <x v="0"/>
    <x v="0"/>
    <n v="67.75"/>
    <n v="0.90333333299999996"/>
    <n v="0"/>
  </r>
  <r>
    <n v="1792"/>
    <d v="2023-08-26T00:00:00"/>
    <d v="1899-12-30T17:37:00"/>
    <n v="88"/>
    <x v="1"/>
    <x v="36"/>
    <x v="1"/>
    <n v="1"/>
    <n v="50"/>
    <n v="26.5"/>
    <n v="50"/>
    <x v="1"/>
    <n v="8"/>
    <x v="4"/>
    <n v="26"/>
    <x v="0"/>
    <x v="1"/>
    <n v="23.5"/>
    <n v="0.47"/>
    <n v="0"/>
  </r>
  <r>
    <n v="176"/>
    <d v="2023-05-26T00:00:00"/>
    <d v="1899-12-30T18:15:00"/>
    <n v="53"/>
    <x v="1"/>
    <x v="22"/>
    <x v="1"/>
    <n v="2"/>
    <n v="50"/>
    <n v="25.5"/>
    <n v="100"/>
    <x v="1"/>
    <n v="5"/>
    <x v="7"/>
    <n v="26"/>
    <x v="3"/>
    <x v="3"/>
    <n v="74.5"/>
    <n v="0.745"/>
    <n v="0"/>
  </r>
  <r>
    <n v="216"/>
    <d v="2022-11-04T00:00:00"/>
    <d v="1899-12-30T17:28:00"/>
    <n v="141"/>
    <x v="0"/>
    <x v="44"/>
    <x v="2"/>
    <n v="2"/>
    <n v="50"/>
    <n v="26.5"/>
    <n v="100"/>
    <x v="0"/>
    <n v="11"/>
    <x v="0"/>
    <n v="4"/>
    <x v="3"/>
    <x v="0"/>
    <n v="73.5"/>
    <n v="0.73499999999999999"/>
    <n v="0"/>
  </r>
  <r>
    <n v="1176"/>
    <d v="2023-01-04T00:00:00"/>
    <d v="1899-12-30T20:33:00"/>
    <n v="34"/>
    <x v="1"/>
    <x v="22"/>
    <x v="1"/>
    <n v="2"/>
    <n v="50"/>
    <n v="21"/>
    <n v="100"/>
    <x v="1"/>
    <n v="1"/>
    <x v="3"/>
    <n v="4"/>
    <x v="4"/>
    <x v="2"/>
    <n v="79"/>
    <n v="0.79"/>
    <n v="0"/>
  </r>
  <r>
    <n v="1216"/>
    <d v="2023-03-01T00:00:00"/>
    <d v="1899-12-30T22:53:00"/>
    <n v="23"/>
    <x v="0"/>
    <x v="44"/>
    <x v="2"/>
    <n v="2"/>
    <n v="50"/>
    <n v="13"/>
    <n v="100"/>
    <x v="1"/>
    <n v="3"/>
    <x v="8"/>
    <n v="1"/>
    <x v="4"/>
    <x v="2"/>
    <n v="87"/>
    <n v="0.87"/>
    <n v="0"/>
  </r>
  <r>
    <n v="772"/>
    <d v="2023-04-14T00:00:00"/>
    <d v="1899-12-30T21:47:00"/>
    <n v="25"/>
    <x v="0"/>
    <x v="6"/>
    <x v="2"/>
    <n v="1"/>
    <n v="30"/>
    <n v="16.2"/>
    <n v="30"/>
    <x v="1"/>
    <n v="4"/>
    <x v="6"/>
    <n v="14"/>
    <x v="3"/>
    <x v="3"/>
    <n v="13.8"/>
    <n v="0.46"/>
    <n v="0"/>
  </r>
  <r>
    <n v="1772"/>
    <d v="2022-02-03T00:00:00"/>
    <d v="1899-12-30T19:06:00"/>
    <n v="59"/>
    <x v="0"/>
    <x v="6"/>
    <x v="2"/>
    <n v="1"/>
    <n v="30"/>
    <n v="13.2"/>
    <n v="30"/>
    <x v="0"/>
    <n v="2"/>
    <x v="10"/>
    <n v="3"/>
    <x v="2"/>
    <x v="2"/>
    <n v="16.8"/>
    <n v="0.56000000000000005"/>
    <n v="0"/>
  </r>
  <r>
    <n v="53"/>
    <d v="2022-01-06T00:00:00"/>
    <d v="1899-12-30T17:57:00"/>
    <n v="32"/>
    <x v="0"/>
    <x v="23"/>
    <x v="2"/>
    <n v="2"/>
    <n v="50"/>
    <n v="22"/>
    <n v="100"/>
    <x v="0"/>
    <n v="1"/>
    <x v="3"/>
    <n v="6"/>
    <x v="2"/>
    <x v="2"/>
    <n v="78"/>
    <n v="0.78"/>
    <n v="0"/>
  </r>
  <r>
    <n v="1053"/>
    <d v="2023-02-10T00:00:00"/>
    <d v="1899-12-30T21:13:00"/>
    <n v="40"/>
    <x v="0"/>
    <x v="23"/>
    <x v="2"/>
    <n v="2"/>
    <n v="50"/>
    <n v="20.5"/>
    <n v="100"/>
    <x v="1"/>
    <n v="2"/>
    <x v="10"/>
    <n v="10"/>
    <x v="3"/>
    <x v="2"/>
    <n v="79.5"/>
    <n v="0.79500000000000004"/>
    <n v="0"/>
  </r>
  <r>
    <n v="43"/>
    <d v="2023-03-18T00:00:00"/>
    <d v="1899-12-30T21:42:00"/>
    <n v="118"/>
    <x v="1"/>
    <x v="42"/>
    <x v="0"/>
    <n v="1"/>
    <n v="300"/>
    <n v="111"/>
    <n v="300"/>
    <x v="1"/>
    <n v="3"/>
    <x v="8"/>
    <n v="18"/>
    <x v="0"/>
    <x v="2"/>
    <n v="189"/>
    <n v="0.63"/>
    <n v="1"/>
  </r>
  <r>
    <n v="71"/>
    <d v="2023-02-16T00:00:00"/>
    <d v="1899-12-30T19:11:00"/>
    <n v="32"/>
    <x v="1"/>
    <x v="12"/>
    <x v="1"/>
    <n v="4"/>
    <n v="25"/>
    <n v="11.5"/>
    <n v="100"/>
    <x v="1"/>
    <n v="2"/>
    <x v="10"/>
    <n v="16"/>
    <x v="2"/>
    <x v="2"/>
    <n v="88.5"/>
    <n v="0.88500000000000001"/>
    <n v="0"/>
  </r>
  <r>
    <n v="93"/>
    <d v="2022-01-25T00:00:00"/>
    <d v="1899-12-30T20:52:00"/>
    <n v="148"/>
    <x v="1"/>
    <x v="39"/>
    <x v="1"/>
    <n v="4"/>
    <n v="500"/>
    <n v="140"/>
    <n v="2000"/>
    <x v="0"/>
    <n v="1"/>
    <x v="3"/>
    <n v="25"/>
    <x v="6"/>
    <x v="2"/>
    <n v="1860"/>
    <n v="0.93"/>
    <n v="1"/>
  </r>
  <r>
    <n v="302"/>
    <d v="2023-02-09T00:00:00"/>
    <d v="1899-12-30T17:51:00"/>
    <n v="26"/>
    <x v="0"/>
    <x v="10"/>
    <x v="1"/>
    <n v="2"/>
    <n v="300"/>
    <n v="135"/>
    <n v="600"/>
    <x v="1"/>
    <n v="2"/>
    <x v="10"/>
    <n v="9"/>
    <x v="2"/>
    <x v="2"/>
    <n v="465"/>
    <n v="0.77500000000000002"/>
    <n v="1"/>
  </r>
  <r>
    <n v="551"/>
    <d v="2023-03-21T00:00:00"/>
    <d v="1899-12-30T22:45:00"/>
    <n v="99"/>
    <x v="0"/>
    <x v="14"/>
    <x v="2"/>
    <n v="3"/>
    <n v="300"/>
    <n v="141"/>
    <n v="900"/>
    <x v="1"/>
    <n v="3"/>
    <x v="8"/>
    <n v="21"/>
    <x v="6"/>
    <x v="2"/>
    <n v="759"/>
    <n v="0.84333333300000002"/>
    <n v="1"/>
  </r>
  <r>
    <n v="681"/>
    <d v="2023-08-04T00:00:00"/>
    <d v="1899-12-30T22:12:00"/>
    <n v="24"/>
    <x v="1"/>
    <x v="22"/>
    <x v="2"/>
    <n v="2"/>
    <n v="30"/>
    <n v="8.4"/>
    <n v="60"/>
    <x v="1"/>
    <n v="8"/>
    <x v="4"/>
    <n v="4"/>
    <x v="3"/>
    <x v="1"/>
    <n v="51.6"/>
    <n v="0.86"/>
    <n v="0"/>
  </r>
  <r>
    <n v="722"/>
    <d v="2023-02-24T00:00:00"/>
    <d v="1899-12-30T18:35:00"/>
    <n v="25"/>
    <x v="0"/>
    <x v="36"/>
    <x v="1"/>
    <n v="3"/>
    <n v="300"/>
    <n v="162"/>
    <n v="900"/>
    <x v="1"/>
    <n v="2"/>
    <x v="10"/>
    <n v="24"/>
    <x v="3"/>
    <x v="2"/>
    <n v="738"/>
    <n v="0.82"/>
    <n v="1"/>
  </r>
  <r>
    <n v="728"/>
    <d v="2022-06-02T00:00:00"/>
    <d v="1899-12-30T19:35:00"/>
    <n v="78"/>
    <x v="0"/>
    <x v="12"/>
    <x v="2"/>
    <n v="3"/>
    <n v="50"/>
    <n v="18"/>
    <n v="150"/>
    <x v="0"/>
    <n v="6"/>
    <x v="11"/>
    <n v="2"/>
    <x v="2"/>
    <x v="3"/>
    <n v="132"/>
    <n v="0.88"/>
    <n v="1"/>
  </r>
  <r>
    <n v="829"/>
    <d v="2022-03-24T00:00:00"/>
    <d v="1899-12-30T21:31:00"/>
    <n v="52"/>
    <x v="0"/>
    <x v="45"/>
    <x v="1"/>
    <n v="3"/>
    <n v="30"/>
    <n v="9.6"/>
    <n v="90"/>
    <x v="0"/>
    <n v="3"/>
    <x v="8"/>
    <n v="24"/>
    <x v="2"/>
    <x v="2"/>
    <n v="80.400000000000006"/>
    <n v="0.89333333299999995"/>
    <n v="0"/>
  </r>
  <r>
    <n v="955"/>
    <d v="2022-01-16T00:00:00"/>
    <d v="1899-12-30T17:57:00"/>
    <n v="16"/>
    <x v="0"/>
    <x v="43"/>
    <x v="0"/>
    <n v="1"/>
    <n v="25"/>
    <n v="12.5"/>
    <n v="25"/>
    <x v="0"/>
    <n v="1"/>
    <x v="3"/>
    <n v="16"/>
    <x v="5"/>
    <x v="2"/>
    <n v="12.5"/>
    <n v="0.5"/>
    <n v="0"/>
  </r>
  <r>
    <n v="1043"/>
    <d v="2023-11-30T00:00:00"/>
    <d v="1899-12-30T18:10:00"/>
    <n v="20"/>
    <x v="1"/>
    <x v="42"/>
    <x v="0"/>
    <n v="1"/>
    <n v="300"/>
    <n v="87"/>
    <n v="300"/>
    <x v="1"/>
    <n v="11"/>
    <x v="0"/>
    <n v="30"/>
    <x v="2"/>
    <x v="0"/>
    <n v="213"/>
    <n v="0.71"/>
    <n v="1"/>
  </r>
  <r>
    <n v="1071"/>
    <d v="2023-09-21T00:00:00"/>
    <d v="1899-12-30T17:38:00"/>
    <n v="155"/>
    <x v="1"/>
    <x v="12"/>
    <x v="1"/>
    <n v="4"/>
    <n v="25"/>
    <n v="6.75"/>
    <n v="100"/>
    <x v="1"/>
    <n v="9"/>
    <x v="9"/>
    <n v="21"/>
    <x v="2"/>
    <x v="1"/>
    <n v="93.25"/>
    <n v="0.9325"/>
    <n v="0"/>
  </r>
  <r>
    <n v="1093"/>
    <d v="2023-11-06T00:00:00"/>
    <d v="1899-12-30T17:26:00"/>
    <n v="87"/>
    <x v="1"/>
    <x v="39"/>
    <x v="1"/>
    <n v="4"/>
    <n v="500"/>
    <n v="270"/>
    <n v="2000"/>
    <x v="1"/>
    <n v="11"/>
    <x v="0"/>
    <n v="6"/>
    <x v="1"/>
    <x v="0"/>
    <n v="1730"/>
    <n v="0.86499999999999999"/>
    <n v="1"/>
  </r>
  <r>
    <n v="1302"/>
    <d v="2022-12-21T00:00:00"/>
    <d v="1899-12-30T17:55:00"/>
    <n v="20"/>
    <x v="0"/>
    <x v="10"/>
    <x v="1"/>
    <n v="2"/>
    <n v="300"/>
    <n v="102"/>
    <n v="600"/>
    <x v="0"/>
    <n v="12"/>
    <x v="2"/>
    <n v="21"/>
    <x v="4"/>
    <x v="0"/>
    <n v="498"/>
    <n v="0.83"/>
    <n v="1"/>
  </r>
  <r>
    <n v="1551"/>
    <d v="2023-11-12T00:00:00"/>
    <d v="1899-12-30T22:36:00"/>
    <n v="84"/>
    <x v="0"/>
    <x v="14"/>
    <x v="2"/>
    <n v="3"/>
    <n v="300"/>
    <n v="81"/>
    <n v="900"/>
    <x v="1"/>
    <n v="11"/>
    <x v="0"/>
    <n v="12"/>
    <x v="5"/>
    <x v="0"/>
    <n v="819"/>
    <n v="0.91"/>
    <n v="1"/>
  </r>
  <r>
    <n v="1681"/>
    <d v="2022-11-09T00:00:00"/>
    <d v="1899-12-30T19:32:00"/>
    <n v="53"/>
    <x v="1"/>
    <x v="22"/>
    <x v="2"/>
    <n v="2"/>
    <n v="30"/>
    <n v="11.1"/>
    <n v="60"/>
    <x v="0"/>
    <n v="11"/>
    <x v="0"/>
    <n v="9"/>
    <x v="4"/>
    <x v="0"/>
    <n v="48.9"/>
    <n v="0.81499999999999995"/>
    <n v="0"/>
  </r>
  <r>
    <n v="1722"/>
    <d v="2022-01-30T00:00:00"/>
    <d v="1899-12-30T20:38:00"/>
    <n v="22"/>
    <x v="0"/>
    <x v="36"/>
    <x v="1"/>
    <n v="3"/>
    <n v="300"/>
    <n v="159"/>
    <n v="900"/>
    <x v="0"/>
    <n v="1"/>
    <x v="3"/>
    <n v="30"/>
    <x v="5"/>
    <x v="2"/>
    <n v="741"/>
    <n v="0.823333333"/>
    <n v="1"/>
  </r>
  <r>
    <n v="1728"/>
    <d v="2023-05-23T00:00:00"/>
    <d v="1899-12-30T22:30:00"/>
    <n v="77"/>
    <x v="0"/>
    <x v="12"/>
    <x v="2"/>
    <n v="3"/>
    <n v="50"/>
    <n v="25"/>
    <n v="150"/>
    <x v="1"/>
    <n v="5"/>
    <x v="7"/>
    <n v="23"/>
    <x v="6"/>
    <x v="3"/>
    <n v="125"/>
    <n v="0.83333333300000001"/>
    <n v="1"/>
  </r>
  <r>
    <n v="1829"/>
    <d v="2022-05-30T00:00:00"/>
    <d v="1899-12-30T22:37:00"/>
    <n v="58"/>
    <x v="0"/>
    <x v="45"/>
    <x v="1"/>
    <n v="3"/>
    <n v="30"/>
    <n v="12"/>
    <n v="90"/>
    <x v="0"/>
    <n v="5"/>
    <x v="7"/>
    <n v="30"/>
    <x v="1"/>
    <x v="3"/>
    <n v="78"/>
    <n v="0.86666666699999995"/>
    <n v="0"/>
  </r>
  <r>
    <n v="1955"/>
    <d v="2022-09-15T00:00:00"/>
    <d v="1899-12-30T21:11:00"/>
    <n v="134"/>
    <x v="0"/>
    <x v="43"/>
    <x v="0"/>
    <n v="1"/>
    <n v="25"/>
    <n v="6.5"/>
    <n v="25"/>
    <x v="0"/>
    <n v="9"/>
    <x v="9"/>
    <n v="15"/>
    <x v="2"/>
    <x v="1"/>
    <n v="18.5"/>
    <n v="0.74"/>
    <n v="0"/>
  </r>
  <r>
    <n v="144"/>
    <d v="2022-03-26T00:00:00"/>
    <d v="1899-12-30T22:18:00"/>
    <n v="119"/>
    <x v="1"/>
    <x v="26"/>
    <x v="1"/>
    <n v="3"/>
    <n v="500"/>
    <n v="255"/>
    <n v="1500"/>
    <x v="0"/>
    <n v="3"/>
    <x v="8"/>
    <n v="26"/>
    <x v="0"/>
    <x v="2"/>
    <n v="1245"/>
    <n v="0.83"/>
    <n v="1"/>
  </r>
  <r>
    <n v="474"/>
    <d v="2022-05-08T00:00:00"/>
    <d v="1899-12-30T17:57:00"/>
    <n v="145"/>
    <x v="1"/>
    <x v="6"/>
    <x v="0"/>
    <n v="3"/>
    <n v="500"/>
    <n v="210"/>
    <n v="1500"/>
    <x v="0"/>
    <n v="5"/>
    <x v="7"/>
    <n v="8"/>
    <x v="5"/>
    <x v="3"/>
    <n v="1290"/>
    <n v="0.86"/>
    <n v="1"/>
  </r>
  <r>
    <n v="1144"/>
    <d v="2022-12-30T00:00:00"/>
    <d v="1899-12-30T21:27:00"/>
    <n v="148"/>
    <x v="1"/>
    <x v="26"/>
    <x v="1"/>
    <n v="3"/>
    <n v="500"/>
    <n v="125"/>
    <n v="1500"/>
    <x v="0"/>
    <n v="12"/>
    <x v="2"/>
    <n v="30"/>
    <x v="3"/>
    <x v="0"/>
    <n v="1375"/>
    <n v="0.91666666699999999"/>
    <n v="1"/>
  </r>
  <r>
    <n v="1474"/>
    <d v="2022-05-15T00:00:00"/>
    <d v="1899-12-30T20:49:00"/>
    <n v="84"/>
    <x v="1"/>
    <x v="6"/>
    <x v="0"/>
    <n v="3"/>
    <n v="500"/>
    <n v="255"/>
    <n v="1500"/>
    <x v="0"/>
    <n v="5"/>
    <x v="7"/>
    <n v="15"/>
    <x v="5"/>
    <x v="3"/>
    <n v="1245"/>
    <n v="0.83"/>
    <n v="1"/>
  </r>
  <r>
    <n v="603"/>
    <d v="2022-04-18T00:00:00"/>
    <d v="1899-12-30T20:17:00"/>
    <n v="95"/>
    <x v="1"/>
    <x v="2"/>
    <x v="0"/>
    <n v="3"/>
    <n v="30"/>
    <n v="14.1"/>
    <n v="90"/>
    <x v="0"/>
    <n v="4"/>
    <x v="6"/>
    <n v="18"/>
    <x v="1"/>
    <x v="3"/>
    <n v="75.900000000000006"/>
    <n v="0.84333333300000002"/>
    <n v="0"/>
  </r>
  <r>
    <n v="661"/>
    <d v="2022-08-05T00:00:00"/>
    <d v="1899-12-30T22:09:00"/>
    <n v="10"/>
    <x v="1"/>
    <x v="47"/>
    <x v="0"/>
    <n v="4"/>
    <n v="25"/>
    <n v="7"/>
    <n v="100"/>
    <x v="0"/>
    <n v="8"/>
    <x v="4"/>
    <n v="5"/>
    <x v="3"/>
    <x v="1"/>
    <n v="93"/>
    <n v="0.93"/>
    <n v="0"/>
  </r>
  <r>
    <n v="1603"/>
    <d v="2023-12-04T00:00:00"/>
    <d v="1899-12-30T20:50:00"/>
    <n v="132"/>
    <x v="1"/>
    <x v="2"/>
    <x v="0"/>
    <n v="3"/>
    <n v="30"/>
    <n v="13.2"/>
    <n v="90"/>
    <x v="1"/>
    <n v="12"/>
    <x v="2"/>
    <n v="4"/>
    <x v="1"/>
    <x v="0"/>
    <n v="76.8"/>
    <n v="0.85333333300000003"/>
    <n v="0"/>
  </r>
  <r>
    <n v="1661"/>
    <d v="2023-07-07T00:00:00"/>
    <d v="1899-12-30T19:18:00"/>
    <n v="20"/>
    <x v="1"/>
    <x v="47"/>
    <x v="0"/>
    <n v="4"/>
    <n v="25"/>
    <n v="6.25"/>
    <n v="100"/>
    <x v="1"/>
    <n v="7"/>
    <x v="1"/>
    <n v="7"/>
    <x v="3"/>
    <x v="1"/>
    <n v="93.75"/>
    <n v="0.9375"/>
    <n v="0"/>
  </r>
  <r>
    <n v="143"/>
    <d v="2023-02-11T00:00:00"/>
    <d v="1899-12-30T22:20:00"/>
    <n v="118"/>
    <x v="1"/>
    <x v="14"/>
    <x v="0"/>
    <n v="1"/>
    <n v="50"/>
    <n v="27.5"/>
    <n v="50"/>
    <x v="1"/>
    <n v="2"/>
    <x v="10"/>
    <n v="11"/>
    <x v="0"/>
    <x v="2"/>
    <n v="22.5"/>
    <n v="0.45"/>
    <n v="0"/>
  </r>
  <r>
    <n v="515"/>
    <d v="2022-02-13T00:00:00"/>
    <d v="1899-12-30T20:47:00"/>
    <n v="71"/>
    <x v="1"/>
    <x v="28"/>
    <x v="0"/>
    <n v="3"/>
    <n v="300"/>
    <n v="75"/>
    <n v="900"/>
    <x v="0"/>
    <n v="2"/>
    <x v="10"/>
    <n v="13"/>
    <x v="5"/>
    <x v="2"/>
    <n v="825"/>
    <n v="0.91666666699999999"/>
    <n v="1"/>
  </r>
  <r>
    <n v="1143"/>
    <d v="2023-05-01T00:00:00"/>
    <d v="1899-12-30T21:10:00"/>
    <n v="23"/>
    <x v="1"/>
    <x v="14"/>
    <x v="0"/>
    <n v="1"/>
    <n v="50"/>
    <n v="15"/>
    <n v="50"/>
    <x v="1"/>
    <n v="5"/>
    <x v="7"/>
    <n v="1"/>
    <x v="1"/>
    <x v="3"/>
    <n v="35"/>
    <n v="0.7"/>
    <n v="0"/>
  </r>
  <r>
    <n v="1515"/>
    <d v="2023-02-04T00:00:00"/>
    <d v="1899-12-30T21:49:00"/>
    <n v="107"/>
    <x v="1"/>
    <x v="28"/>
    <x v="0"/>
    <n v="3"/>
    <n v="300"/>
    <n v="135"/>
    <n v="900"/>
    <x v="1"/>
    <n v="2"/>
    <x v="10"/>
    <n v="4"/>
    <x v="0"/>
    <x v="2"/>
    <n v="765"/>
    <n v="0.85"/>
    <n v="1"/>
  </r>
  <r>
    <n v="304"/>
    <d v="2023-03-23T00:00:00"/>
    <d v="1899-12-30T18:35:00"/>
    <n v="59"/>
    <x v="1"/>
    <x v="5"/>
    <x v="2"/>
    <n v="2"/>
    <n v="30"/>
    <n v="15.6"/>
    <n v="60"/>
    <x v="1"/>
    <n v="3"/>
    <x v="8"/>
    <n v="23"/>
    <x v="2"/>
    <x v="2"/>
    <n v="44.4"/>
    <n v="0.74"/>
    <n v="0"/>
  </r>
  <r>
    <n v="676"/>
    <d v="2023-07-10T00:00:00"/>
    <d v="1899-12-30T22:13:00"/>
    <n v="80"/>
    <x v="0"/>
    <x v="15"/>
    <x v="2"/>
    <n v="3"/>
    <n v="500"/>
    <n v="205"/>
    <n v="1500"/>
    <x v="1"/>
    <n v="7"/>
    <x v="1"/>
    <n v="10"/>
    <x v="1"/>
    <x v="1"/>
    <n v="1295"/>
    <n v="0.86333333300000004"/>
    <n v="1"/>
  </r>
  <r>
    <n v="686"/>
    <d v="2022-01-06T00:00:00"/>
    <d v="1899-12-30T17:14:00"/>
    <n v="68"/>
    <x v="1"/>
    <x v="32"/>
    <x v="2"/>
    <n v="4"/>
    <n v="50"/>
    <n v="23.5"/>
    <n v="200"/>
    <x v="0"/>
    <n v="1"/>
    <x v="3"/>
    <n v="6"/>
    <x v="2"/>
    <x v="2"/>
    <n v="176.5"/>
    <n v="0.88249999999999995"/>
    <n v="1"/>
  </r>
  <r>
    <n v="698"/>
    <d v="2022-03-17T00:00:00"/>
    <d v="1899-12-30T20:56:00"/>
    <n v="116"/>
    <x v="1"/>
    <x v="3"/>
    <x v="2"/>
    <n v="1"/>
    <n v="300"/>
    <n v="123"/>
    <n v="300"/>
    <x v="0"/>
    <n v="3"/>
    <x v="8"/>
    <n v="17"/>
    <x v="2"/>
    <x v="2"/>
    <n v="177"/>
    <n v="0.59"/>
    <n v="1"/>
  </r>
  <r>
    <n v="1304"/>
    <d v="2022-09-26T00:00:00"/>
    <d v="1899-12-30T22:19:00"/>
    <n v="4"/>
    <x v="1"/>
    <x v="5"/>
    <x v="2"/>
    <n v="2"/>
    <n v="30"/>
    <n v="9.3000000000000007"/>
    <n v="60"/>
    <x v="0"/>
    <n v="9"/>
    <x v="9"/>
    <n v="26"/>
    <x v="1"/>
    <x v="1"/>
    <n v="50.7"/>
    <n v="0.84499999999999997"/>
    <n v="0"/>
  </r>
  <r>
    <n v="1676"/>
    <d v="2023-09-21T00:00:00"/>
    <d v="1899-12-30T20:22:00"/>
    <n v="91"/>
    <x v="0"/>
    <x v="15"/>
    <x v="2"/>
    <n v="3"/>
    <n v="500"/>
    <n v="210"/>
    <n v="1500"/>
    <x v="1"/>
    <n v="9"/>
    <x v="9"/>
    <n v="21"/>
    <x v="2"/>
    <x v="1"/>
    <n v="1290"/>
    <n v="0.86"/>
    <n v="1"/>
  </r>
  <r>
    <n v="1686"/>
    <d v="2023-12-10T00:00:00"/>
    <d v="1899-12-30T20:41:00"/>
    <n v="151"/>
    <x v="1"/>
    <x v="32"/>
    <x v="2"/>
    <n v="4"/>
    <n v="50"/>
    <n v="26"/>
    <n v="200"/>
    <x v="1"/>
    <n v="12"/>
    <x v="2"/>
    <n v="10"/>
    <x v="5"/>
    <x v="0"/>
    <n v="174"/>
    <n v="0.87"/>
    <n v="1"/>
  </r>
  <r>
    <n v="1698"/>
    <d v="2022-04-07T00:00:00"/>
    <d v="1899-12-30T21:50:00"/>
    <n v="146"/>
    <x v="1"/>
    <x v="3"/>
    <x v="2"/>
    <n v="1"/>
    <n v="300"/>
    <n v="105"/>
    <n v="300"/>
    <x v="0"/>
    <n v="4"/>
    <x v="6"/>
    <n v="7"/>
    <x v="2"/>
    <x v="3"/>
    <n v="195"/>
    <n v="0.65"/>
    <n v="1"/>
  </r>
  <r>
    <n v="709"/>
    <d v="2022-09-22T00:00:00"/>
    <d v="1899-12-30T22:32:00"/>
    <n v="61"/>
    <x v="1"/>
    <x v="4"/>
    <x v="2"/>
    <n v="2"/>
    <n v="500"/>
    <n v="140"/>
    <n v="1000"/>
    <x v="0"/>
    <n v="9"/>
    <x v="9"/>
    <n v="22"/>
    <x v="2"/>
    <x v="1"/>
    <n v="860"/>
    <n v="0.86"/>
    <n v="1"/>
  </r>
  <r>
    <n v="1709"/>
    <d v="2023-09-13T00:00:00"/>
    <d v="1899-12-30T20:22:00"/>
    <n v="97"/>
    <x v="1"/>
    <x v="4"/>
    <x v="2"/>
    <n v="2"/>
    <n v="500"/>
    <n v="185"/>
    <n v="1000"/>
    <x v="1"/>
    <n v="9"/>
    <x v="9"/>
    <n v="13"/>
    <x v="4"/>
    <x v="1"/>
    <n v="815"/>
    <n v="0.81499999999999995"/>
    <n v="1"/>
  </r>
  <r>
    <n v="114"/>
    <d v="2022-04-17T00:00:00"/>
    <d v="1899-12-30T20:57:00"/>
    <n v="92"/>
    <x v="1"/>
    <x v="30"/>
    <x v="1"/>
    <n v="4"/>
    <n v="25"/>
    <n v="9.25"/>
    <n v="100"/>
    <x v="0"/>
    <n v="4"/>
    <x v="6"/>
    <n v="17"/>
    <x v="5"/>
    <x v="3"/>
    <n v="90.75"/>
    <n v="0.90749999999999997"/>
    <n v="0"/>
  </r>
  <r>
    <n v="359"/>
    <d v="2022-12-15T00:00:00"/>
    <d v="1899-12-30T21:49:00"/>
    <n v="122"/>
    <x v="0"/>
    <x v="20"/>
    <x v="0"/>
    <n v="1"/>
    <n v="50"/>
    <n v="22.5"/>
    <n v="50"/>
    <x v="0"/>
    <n v="12"/>
    <x v="2"/>
    <n v="15"/>
    <x v="2"/>
    <x v="0"/>
    <n v="27.5"/>
    <n v="0.55000000000000004"/>
    <n v="0"/>
  </r>
  <r>
    <n v="1114"/>
    <d v="2022-08-18T00:00:00"/>
    <d v="1899-12-30T22:19:00"/>
    <n v="100"/>
    <x v="1"/>
    <x v="30"/>
    <x v="1"/>
    <n v="4"/>
    <n v="25"/>
    <n v="12"/>
    <n v="100"/>
    <x v="0"/>
    <n v="8"/>
    <x v="4"/>
    <n v="18"/>
    <x v="2"/>
    <x v="1"/>
    <n v="88"/>
    <n v="0.88"/>
    <n v="0"/>
  </r>
  <r>
    <n v="1359"/>
    <d v="2022-05-17T00:00:00"/>
    <d v="1899-12-30T22:21:00"/>
    <n v="55"/>
    <x v="0"/>
    <x v="20"/>
    <x v="0"/>
    <n v="1"/>
    <n v="50"/>
    <n v="19"/>
    <n v="50"/>
    <x v="0"/>
    <n v="5"/>
    <x v="7"/>
    <n v="17"/>
    <x v="6"/>
    <x v="3"/>
    <n v="31"/>
    <n v="0.62"/>
    <n v="0"/>
  </r>
  <r>
    <n v="773"/>
    <d v="2023-01-14T00:00:00"/>
    <d v="1899-12-30T19:10:00"/>
    <n v="3"/>
    <x v="0"/>
    <x v="38"/>
    <x v="2"/>
    <n v="4"/>
    <n v="500"/>
    <n v="175"/>
    <n v="2000"/>
    <x v="1"/>
    <n v="1"/>
    <x v="3"/>
    <n v="14"/>
    <x v="0"/>
    <x v="2"/>
    <n v="1825"/>
    <n v="0.91249999999999998"/>
    <n v="1"/>
  </r>
  <r>
    <n v="1773"/>
    <d v="2023-12-12T00:00:00"/>
    <d v="1899-12-30T18:50:00"/>
    <n v="80"/>
    <x v="0"/>
    <x v="38"/>
    <x v="2"/>
    <n v="4"/>
    <n v="500"/>
    <n v="165"/>
    <n v="2000"/>
    <x v="1"/>
    <n v="12"/>
    <x v="2"/>
    <n v="12"/>
    <x v="6"/>
    <x v="0"/>
    <n v="1835"/>
    <n v="0.91749999999999998"/>
    <n v="1"/>
  </r>
  <r>
    <n v="127"/>
    <d v="2023-05-20T00:00:00"/>
    <d v="1899-12-30T19:37:00"/>
    <n v="40"/>
    <x v="1"/>
    <x v="19"/>
    <x v="0"/>
    <n v="2"/>
    <n v="25"/>
    <n v="7.5"/>
    <n v="50"/>
    <x v="1"/>
    <n v="5"/>
    <x v="7"/>
    <n v="20"/>
    <x v="0"/>
    <x v="3"/>
    <n v="42.5"/>
    <n v="0.85"/>
    <n v="0"/>
  </r>
  <r>
    <n v="213"/>
    <d v="2023-08-13T00:00:00"/>
    <d v="1899-12-30T20:48:00"/>
    <n v="113"/>
    <x v="0"/>
    <x v="17"/>
    <x v="1"/>
    <n v="3"/>
    <n v="500"/>
    <n v="275"/>
    <n v="1500"/>
    <x v="1"/>
    <n v="8"/>
    <x v="4"/>
    <n v="13"/>
    <x v="5"/>
    <x v="1"/>
    <n v="1225"/>
    <n v="0.81666666700000001"/>
    <n v="1"/>
  </r>
  <r>
    <n v="487"/>
    <d v="2023-04-09T00:00:00"/>
    <d v="1899-12-30T21:03:00"/>
    <n v="36"/>
    <x v="0"/>
    <x v="47"/>
    <x v="0"/>
    <n v="4"/>
    <n v="500"/>
    <n v="235"/>
    <n v="2000"/>
    <x v="1"/>
    <n v="4"/>
    <x v="6"/>
    <n v="9"/>
    <x v="5"/>
    <x v="3"/>
    <n v="1765"/>
    <n v="0.88249999999999995"/>
    <n v="1"/>
  </r>
  <r>
    <n v="495"/>
    <d v="2022-06-24T00:00:00"/>
    <d v="1899-12-30T21:06:00"/>
    <n v="131"/>
    <x v="0"/>
    <x v="24"/>
    <x v="1"/>
    <n v="2"/>
    <n v="30"/>
    <n v="11.7"/>
    <n v="60"/>
    <x v="0"/>
    <n v="6"/>
    <x v="11"/>
    <n v="24"/>
    <x v="3"/>
    <x v="3"/>
    <n v="48.3"/>
    <n v="0.80500000000000005"/>
    <n v="0"/>
  </r>
  <r>
    <n v="605"/>
    <d v="2023-10-19T00:00:00"/>
    <d v="1899-12-30T22:24:00"/>
    <n v="76"/>
    <x v="0"/>
    <x v="5"/>
    <x v="2"/>
    <n v="2"/>
    <n v="500"/>
    <n v="180"/>
    <n v="1000"/>
    <x v="1"/>
    <n v="10"/>
    <x v="5"/>
    <n v="19"/>
    <x v="2"/>
    <x v="0"/>
    <n v="820"/>
    <n v="0.82"/>
    <n v="1"/>
  </r>
  <r>
    <n v="1127"/>
    <d v="2022-03-15T00:00:00"/>
    <d v="1899-12-30T19:26:00"/>
    <n v="87"/>
    <x v="1"/>
    <x v="19"/>
    <x v="0"/>
    <n v="2"/>
    <n v="25"/>
    <n v="13"/>
    <n v="50"/>
    <x v="0"/>
    <n v="3"/>
    <x v="8"/>
    <n v="15"/>
    <x v="6"/>
    <x v="2"/>
    <n v="37"/>
    <n v="0.74"/>
    <n v="0"/>
  </r>
  <r>
    <n v="1213"/>
    <d v="2023-06-21T00:00:00"/>
    <d v="1899-12-30T17:23:00"/>
    <n v="41"/>
    <x v="0"/>
    <x v="17"/>
    <x v="1"/>
    <n v="3"/>
    <n v="500"/>
    <n v="185"/>
    <n v="1500"/>
    <x v="1"/>
    <n v="6"/>
    <x v="11"/>
    <n v="21"/>
    <x v="4"/>
    <x v="3"/>
    <n v="1315"/>
    <n v="0.87666666699999996"/>
    <n v="1"/>
  </r>
  <r>
    <n v="1487"/>
    <d v="2023-02-01T00:00:00"/>
    <d v="1899-12-30T19:01:00"/>
    <n v="131"/>
    <x v="0"/>
    <x v="47"/>
    <x v="0"/>
    <n v="4"/>
    <n v="500"/>
    <n v="140"/>
    <n v="2000"/>
    <x v="1"/>
    <n v="2"/>
    <x v="10"/>
    <n v="1"/>
    <x v="4"/>
    <x v="2"/>
    <n v="1860"/>
    <n v="0.93"/>
    <n v="1"/>
  </r>
  <r>
    <n v="1495"/>
    <d v="2023-03-14T00:00:00"/>
    <d v="1899-12-30T22:37:00"/>
    <n v="113"/>
    <x v="0"/>
    <x v="24"/>
    <x v="1"/>
    <n v="2"/>
    <n v="30"/>
    <n v="16.2"/>
    <n v="60"/>
    <x v="1"/>
    <n v="3"/>
    <x v="8"/>
    <n v="14"/>
    <x v="6"/>
    <x v="2"/>
    <n v="43.8"/>
    <n v="0.73"/>
    <n v="0"/>
  </r>
  <r>
    <n v="1605"/>
    <d v="2022-01-24T00:00:00"/>
    <d v="1899-12-30T19:39:00"/>
    <n v="2"/>
    <x v="0"/>
    <x v="5"/>
    <x v="2"/>
    <n v="2"/>
    <n v="500"/>
    <n v="165"/>
    <n v="1000"/>
    <x v="0"/>
    <n v="1"/>
    <x v="3"/>
    <n v="24"/>
    <x v="1"/>
    <x v="2"/>
    <n v="835"/>
    <n v="0.83499999999999996"/>
    <n v="1"/>
  </r>
  <r>
    <n v="105"/>
    <d v="2023-06-18T00:00:00"/>
    <d v="1899-12-30T18:05:00"/>
    <n v="82"/>
    <x v="1"/>
    <x v="30"/>
    <x v="2"/>
    <n v="1"/>
    <n v="500"/>
    <n v="230"/>
    <n v="500"/>
    <x v="1"/>
    <n v="6"/>
    <x v="11"/>
    <n v="18"/>
    <x v="5"/>
    <x v="3"/>
    <n v="270"/>
    <n v="0.54"/>
    <n v="1"/>
  </r>
  <r>
    <n v="299"/>
    <d v="2023-01-25T00:00:00"/>
    <d v="1899-12-30T20:03:00"/>
    <n v="76"/>
    <x v="0"/>
    <x v="45"/>
    <x v="2"/>
    <n v="2"/>
    <n v="500"/>
    <n v="230"/>
    <n v="1000"/>
    <x v="1"/>
    <n v="1"/>
    <x v="3"/>
    <n v="25"/>
    <x v="4"/>
    <x v="2"/>
    <n v="770"/>
    <n v="0.77"/>
    <n v="1"/>
  </r>
  <r>
    <n v="934"/>
    <d v="2022-11-22T00:00:00"/>
    <d v="1899-12-30T18:20:00"/>
    <n v="111"/>
    <x v="0"/>
    <x v="7"/>
    <x v="1"/>
    <n v="1"/>
    <n v="500"/>
    <n v="240"/>
    <n v="500"/>
    <x v="0"/>
    <n v="11"/>
    <x v="0"/>
    <n v="22"/>
    <x v="6"/>
    <x v="0"/>
    <n v="260"/>
    <n v="0.52"/>
    <n v="1"/>
  </r>
  <r>
    <n v="1105"/>
    <d v="2022-11-12T00:00:00"/>
    <d v="1899-12-30T19:09:00"/>
    <n v="19"/>
    <x v="1"/>
    <x v="30"/>
    <x v="2"/>
    <n v="1"/>
    <n v="500"/>
    <n v="270"/>
    <n v="500"/>
    <x v="0"/>
    <n v="11"/>
    <x v="0"/>
    <n v="12"/>
    <x v="0"/>
    <x v="0"/>
    <n v="230"/>
    <n v="0.46"/>
    <n v="1"/>
  </r>
  <r>
    <n v="1299"/>
    <d v="2022-05-08T00:00:00"/>
    <d v="1899-12-30T18:58:00"/>
    <n v="11"/>
    <x v="0"/>
    <x v="45"/>
    <x v="2"/>
    <n v="2"/>
    <n v="500"/>
    <n v="250"/>
    <n v="1000"/>
    <x v="0"/>
    <n v="5"/>
    <x v="7"/>
    <n v="8"/>
    <x v="5"/>
    <x v="3"/>
    <n v="750"/>
    <n v="0.75"/>
    <n v="1"/>
  </r>
  <r>
    <n v="1934"/>
    <d v="2022-09-08T00:00:00"/>
    <d v="1899-12-30T17:06:00"/>
    <n v="69"/>
    <x v="0"/>
    <x v="7"/>
    <x v="1"/>
    <n v="1"/>
    <n v="500"/>
    <n v="150"/>
    <n v="500"/>
    <x v="0"/>
    <n v="9"/>
    <x v="9"/>
    <n v="8"/>
    <x v="2"/>
    <x v="1"/>
    <n v="350"/>
    <n v="0.7"/>
    <n v="1"/>
  </r>
  <r>
    <n v="270"/>
    <d v="2022-12-17T00:00:00"/>
    <d v="1899-12-30T17:46:00"/>
    <n v="84"/>
    <x v="0"/>
    <x v="22"/>
    <x v="2"/>
    <n v="1"/>
    <n v="300"/>
    <n v="117"/>
    <n v="300"/>
    <x v="0"/>
    <n v="12"/>
    <x v="2"/>
    <n v="17"/>
    <x v="0"/>
    <x v="0"/>
    <n v="183"/>
    <n v="0.61"/>
    <n v="1"/>
  </r>
  <r>
    <n v="338"/>
    <d v="2022-02-05T00:00:00"/>
    <d v="1899-12-30T21:26:00"/>
    <n v="44"/>
    <x v="0"/>
    <x v="29"/>
    <x v="1"/>
    <n v="2"/>
    <n v="50"/>
    <n v="20"/>
    <n v="100"/>
    <x v="0"/>
    <n v="2"/>
    <x v="10"/>
    <n v="5"/>
    <x v="0"/>
    <x v="2"/>
    <n v="80"/>
    <n v="0.8"/>
    <n v="0"/>
  </r>
  <r>
    <n v="543"/>
    <d v="2022-04-16T00:00:00"/>
    <d v="1899-12-30T20:30:00"/>
    <n v="121"/>
    <x v="0"/>
    <x v="28"/>
    <x v="1"/>
    <n v="2"/>
    <n v="300"/>
    <n v="75"/>
    <n v="600"/>
    <x v="0"/>
    <n v="4"/>
    <x v="6"/>
    <n v="16"/>
    <x v="0"/>
    <x v="3"/>
    <n v="525"/>
    <n v="0.875"/>
    <n v="1"/>
  </r>
  <r>
    <n v="1270"/>
    <d v="2022-08-25T00:00:00"/>
    <d v="1899-12-30T22:54:00"/>
    <n v="84"/>
    <x v="0"/>
    <x v="22"/>
    <x v="2"/>
    <n v="1"/>
    <n v="300"/>
    <n v="108"/>
    <n v="300"/>
    <x v="0"/>
    <n v="8"/>
    <x v="4"/>
    <n v="25"/>
    <x v="2"/>
    <x v="1"/>
    <n v="192"/>
    <n v="0.64"/>
    <n v="1"/>
  </r>
  <r>
    <n v="1338"/>
    <d v="2022-01-25T00:00:00"/>
    <d v="1899-12-30T19:55:00"/>
    <n v="31"/>
    <x v="0"/>
    <x v="29"/>
    <x v="1"/>
    <n v="2"/>
    <n v="50"/>
    <n v="19"/>
    <n v="100"/>
    <x v="0"/>
    <n v="1"/>
    <x v="3"/>
    <n v="25"/>
    <x v="6"/>
    <x v="2"/>
    <n v="81"/>
    <n v="0.81"/>
    <n v="0"/>
  </r>
  <r>
    <n v="1543"/>
    <d v="2022-10-03T00:00:00"/>
    <d v="1899-12-30T22:40:00"/>
    <n v="73"/>
    <x v="0"/>
    <x v="28"/>
    <x v="1"/>
    <n v="2"/>
    <n v="300"/>
    <n v="123"/>
    <n v="600"/>
    <x v="0"/>
    <n v="10"/>
    <x v="5"/>
    <n v="3"/>
    <x v="1"/>
    <x v="0"/>
    <n v="477"/>
    <n v="0.79500000000000004"/>
    <n v="1"/>
  </r>
  <r>
    <n v="557"/>
    <d v="2023-09-27T00:00:00"/>
    <d v="1899-12-30T20:01:00"/>
    <n v="155"/>
    <x v="1"/>
    <x v="36"/>
    <x v="1"/>
    <n v="3"/>
    <n v="30"/>
    <n v="12.9"/>
    <n v="90"/>
    <x v="1"/>
    <n v="9"/>
    <x v="9"/>
    <n v="27"/>
    <x v="4"/>
    <x v="1"/>
    <n v="77.099999999999994"/>
    <n v="0.85666666700000005"/>
    <n v="0"/>
  </r>
  <r>
    <n v="702"/>
    <d v="2023-03-03T00:00:00"/>
    <d v="1899-12-30T17:18:00"/>
    <n v="66"/>
    <x v="1"/>
    <x v="13"/>
    <x v="0"/>
    <n v="2"/>
    <n v="300"/>
    <n v="78"/>
    <n v="600"/>
    <x v="1"/>
    <n v="3"/>
    <x v="8"/>
    <n v="3"/>
    <x v="3"/>
    <x v="2"/>
    <n v="522"/>
    <n v="0.87"/>
    <n v="1"/>
  </r>
  <r>
    <n v="864"/>
    <d v="2023-07-31T00:00:00"/>
    <d v="1899-12-30T22:16:00"/>
    <n v="139"/>
    <x v="1"/>
    <x v="12"/>
    <x v="2"/>
    <n v="1"/>
    <n v="500"/>
    <n v="215"/>
    <n v="500"/>
    <x v="1"/>
    <n v="7"/>
    <x v="1"/>
    <n v="31"/>
    <x v="1"/>
    <x v="1"/>
    <n v="285"/>
    <n v="0.56999999999999995"/>
    <n v="1"/>
  </r>
  <r>
    <n v="1557"/>
    <d v="2022-08-04T00:00:00"/>
    <d v="1899-12-30T17:01:00"/>
    <n v="14"/>
    <x v="1"/>
    <x v="36"/>
    <x v="1"/>
    <n v="3"/>
    <n v="30"/>
    <n v="10.199999999999999"/>
    <n v="90"/>
    <x v="0"/>
    <n v="8"/>
    <x v="4"/>
    <n v="4"/>
    <x v="2"/>
    <x v="1"/>
    <n v="79.8"/>
    <n v="0.88666666699999996"/>
    <n v="0"/>
  </r>
  <r>
    <n v="1702"/>
    <d v="2023-07-31T00:00:00"/>
    <d v="1899-12-30T21:54:00"/>
    <n v="102"/>
    <x v="1"/>
    <x v="13"/>
    <x v="0"/>
    <n v="2"/>
    <n v="300"/>
    <n v="87"/>
    <n v="600"/>
    <x v="1"/>
    <n v="7"/>
    <x v="1"/>
    <n v="31"/>
    <x v="1"/>
    <x v="1"/>
    <n v="513"/>
    <n v="0.85499999999999998"/>
    <n v="1"/>
  </r>
  <r>
    <n v="1864"/>
    <d v="2023-04-30T00:00:00"/>
    <d v="1899-12-30T21:00:00"/>
    <n v="112"/>
    <x v="1"/>
    <x v="12"/>
    <x v="2"/>
    <n v="1"/>
    <n v="500"/>
    <n v="190"/>
    <n v="500"/>
    <x v="1"/>
    <n v="4"/>
    <x v="6"/>
    <n v="30"/>
    <x v="5"/>
    <x v="3"/>
    <n v="310"/>
    <n v="0.62"/>
    <n v="1"/>
  </r>
  <r>
    <n v="254"/>
    <d v="2022-12-14T00:00:00"/>
    <d v="1899-12-30T22:45:00"/>
    <n v="104"/>
    <x v="0"/>
    <x v="0"/>
    <x v="2"/>
    <n v="1"/>
    <n v="500"/>
    <n v="165"/>
    <n v="500"/>
    <x v="0"/>
    <n v="12"/>
    <x v="2"/>
    <n v="14"/>
    <x v="4"/>
    <x v="0"/>
    <n v="335"/>
    <n v="0.67"/>
    <n v="1"/>
  </r>
  <r>
    <n v="295"/>
    <d v="2022-02-01T00:00:00"/>
    <d v="1899-12-30T20:23:00"/>
    <n v="80"/>
    <x v="1"/>
    <x v="17"/>
    <x v="1"/>
    <n v="3"/>
    <n v="300"/>
    <n v="105"/>
    <n v="900"/>
    <x v="0"/>
    <n v="2"/>
    <x v="10"/>
    <n v="1"/>
    <x v="6"/>
    <x v="2"/>
    <n v="795"/>
    <n v="0.88333333300000005"/>
    <n v="1"/>
  </r>
  <r>
    <n v="457"/>
    <d v="2022-11-28T00:00:00"/>
    <d v="1899-12-30T22:49:00"/>
    <n v="38"/>
    <x v="1"/>
    <x v="43"/>
    <x v="1"/>
    <n v="3"/>
    <n v="300"/>
    <n v="147"/>
    <n v="900"/>
    <x v="0"/>
    <n v="11"/>
    <x v="0"/>
    <n v="28"/>
    <x v="1"/>
    <x v="0"/>
    <n v="753"/>
    <n v="0.83666666700000003"/>
    <n v="1"/>
  </r>
  <r>
    <n v="668"/>
    <d v="2022-06-17T00:00:00"/>
    <d v="1899-12-30T20:33:00"/>
    <n v="135"/>
    <x v="1"/>
    <x v="44"/>
    <x v="2"/>
    <n v="3"/>
    <n v="50"/>
    <n v="24.5"/>
    <n v="150"/>
    <x v="0"/>
    <n v="6"/>
    <x v="11"/>
    <n v="17"/>
    <x v="3"/>
    <x v="3"/>
    <n v="125.5"/>
    <n v="0.83666666700000003"/>
    <n v="1"/>
  </r>
  <r>
    <n v="850"/>
    <d v="2023-09-14T00:00:00"/>
    <d v="1899-12-30T19:01:00"/>
    <n v="58"/>
    <x v="1"/>
    <x v="6"/>
    <x v="1"/>
    <n v="2"/>
    <n v="500"/>
    <n v="235"/>
    <n v="1000"/>
    <x v="1"/>
    <n v="9"/>
    <x v="9"/>
    <n v="14"/>
    <x v="2"/>
    <x v="1"/>
    <n v="765"/>
    <n v="0.76500000000000001"/>
    <n v="1"/>
  </r>
  <r>
    <n v="1254"/>
    <d v="2023-04-12T00:00:00"/>
    <d v="1899-12-30T18:24:00"/>
    <n v="86"/>
    <x v="0"/>
    <x v="0"/>
    <x v="2"/>
    <n v="1"/>
    <n v="500"/>
    <n v="180"/>
    <n v="500"/>
    <x v="1"/>
    <n v="4"/>
    <x v="6"/>
    <n v="12"/>
    <x v="4"/>
    <x v="3"/>
    <n v="320"/>
    <n v="0.64"/>
    <n v="1"/>
  </r>
  <r>
    <n v="1295"/>
    <d v="2023-11-04T00:00:00"/>
    <d v="1899-12-30T19:28:00"/>
    <n v="86"/>
    <x v="1"/>
    <x v="17"/>
    <x v="1"/>
    <n v="3"/>
    <n v="300"/>
    <n v="81"/>
    <n v="900"/>
    <x v="1"/>
    <n v="11"/>
    <x v="0"/>
    <n v="4"/>
    <x v="0"/>
    <x v="0"/>
    <n v="819"/>
    <n v="0.91"/>
    <n v="1"/>
  </r>
  <r>
    <n v="1457"/>
    <d v="2023-03-25T00:00:00"/>
    <d v="1899-12-30T21:31:00"/>
    <n v="140"/>
    <x v="1"/>
    <x v="43"/>
    <x v="1"/>
    <n v="3"/>
    <n v="300"/>
    <n v="108"/>
    <n v="900"/>
    <x v="1"/>
    <n v="3"/>
    <x v="8"/>
    <n v="25"/>
    <x v="0"/>
    <x v="2"/>
    <n v="792"/>
    <n v="0.88"/>
    <n v="1"/>
  </r>
  <r>
    <n v="1668"/>
    <d v="2023-03-13T00:00:00"/>
    <d v="1899-12-30T21:40:00"/>
    <n v="132"/>
    <x v="1"/>
    <x v="44"/>
    <x v="2"/>
    <n v="3"/>
    <n v="50"/>
    <n v="14"/>
    <n v="150"/>
    <x v="1"/>
    <n v="3"/>
    <x v="8"/>
    <n v="13"/>
    <x v="1"/>
    <x v="2"/>
    <n v="136"/>
    <n v="0.90666666699999998"/>
    <n v="1"/>
  </r>
  <r>
    <n v="1850"/>
    <d v="2022-02-16T00:00:00"/>
    <d v="1899-12-30T20:44:00"/>
    <n v="154"/>
    <x v="1"/>
    <x v="6"/>
    <x v="1"/>
    <n v="2"/>
    <n v="500"/>
    <n v="240"/>
    <n v="1000"/>
    <x v="0"/>
    <n v="2"/>
    <x v="10"/>
    <n v="16"/>
    <x v="4"/>
    <x v="2"/>
    <n v="760"/>
    <n v="0.76"/>
    <n v="1"/>
  </r>
  <r>
    <n v="541"/>
    <d v="2022-12-25T00:00:00"/>
    <d v="1899-12-30T18:37:00"/>
    <n v="39"/>
    <x v="0"/>
    <x v="34"/>
    <x v="1"/>
    <n v="1"/>
    <n v="500"/>
    <n v="215"/>
    <n v="500"/>
    <x v="0"/>
    <n v="12"/>
    <x v="2"/>
    <n v="25"/>
    <x v="5"/>
    <x v="0"/>
    <n v="285"/>
    <n v="0.56999999999999995"/>
    <n v="1"/>
  </r>
  <r>
    <n v="980"/>
    <d v="2022-10-14T00:00:00"/>
    <d v="1899-12-30T19:51:00"/>
    <n v="147"/>
    <x v="1"/>
    <x v="16"/>
    <x v="2"/>
    <n v="3"/>
    <n v="25"/>
    <n v="12.5"/>
    <n v="75"/>
    <x v="0"/>
    <n v="10"/>
    <x v="5"/>
    <n v="14"/>
    <x v="3"/>
    <x v="0"/>
    <n v="62.5"/>
    <n v="0.83333333300000001"/>
    <n v="0"/>
  </r>
  <r>
    <n v="1541"/>
    <d v="2023-10-02T00:00:00"/>
    <d v="1899-12-30T22:17:00"/>
    <n v="57"/>
    <x v="0"/>
    <x v="34"/>
    <x v="1"/>
    <n v="1"/>
    <n v="500"/>
    <n v="195"/>
    <n v="500"/>
    <x v="1"/>
    <n v="10"/>
    <x v="5"/>
    <n v="2"/>
    <x v="1"/>
    <x v="0"/>
    <n v="305"/>
    <n v="0.61"/>
    <n v="1"/>
  </r>
  <r>
    <n v="1980"/>
    <d v="2023-08-23T00:00:00"/>
    <d v="1899-12-30T20:30:00"/>
    <n v="112"/>
    <x v="1"/>
    <x v="16"/>
    <x v="2"/>
    <n v="3"/>
    <n v="25"/>
    <n v="6.5"/>
    <n v="75"/>
    <x v="1"/>
    <n v="8"/>
    <x v="4"/>
    <n v="23"/>
    <x v="4"/>
    <x v="1"/>
    <n v="68.5"/>
    <n v="0.91333333299999997"/>
    <n v="0"/>
  </r>
  <r>
    <n v="262"/>
    <d v="2023-09-15T00:00:00"/>
    <d v="1899-12-30T20:33:00"/>
    <n v="30"/>
    <x v="1"/>
    <x v="37"/>
    <x v="1"/>
    <n v="4"/>
    <n v="30"/>
    <n v="12.6"/>
    <n v="120"/>
    <x v="1"/>
    <n v="9"/>
    <x v="9"/>
    <n v="15"/>
    <x v="3"/>
    <x v="1"/>
    <n v="107.4"/>
    <n v="0.89500000000000002"/>
    <n v="0"/>
  </r>
  <r>
    <n v="467"/>
    <d v="2022-01-24T00:00:00"/>
    <d v="1899-12-30T22:39:00"/>
    <n v="151"/>
    <x v="1"/>
    <x v="21"/>
    <x v="2"/>
    <n v="3"/>
    <n v="50"/>
    <n v="14.5"/>
    <n v="150"/>
    <x v="0"/>
    <n v="1"/>
    <x v="3"/>
    <n v="24"/>
    <x v="1"/>
    <x v="2"/>
    <n v="135.5"/>
    <n v="0.90333333299999996"/>
    <n v="1"/>
  </r>
  <r>
    <n v="1262"/>
    <d v="2022-08-13T00:00:00"/>
    <d v="1899-12-30T20:33:00"/>
    <n v="127"/>
    <x v="1"/>
    <x v="37"/>
    <x v="1"/>
    <n v="4"/>
    <n v="30"/>
    <n v="8.4"/>
    <n v="120"/>
    <x v="0"/>
    <n v="8"/>
    <x v="4"/>
    <n v="13"/>
    <x v="0"/>
    <x v="1"/>
    <n v="111.6"/>
    <n v="0.93"/>
    <n v="0"/>
  </r>
  <r>
    <n v="1467"/>
    <d v="2023-08-13T00:00:00"/>
    <d v="1899-12-30T19:31:00"/>
    <n v="89"/>
    <x v="1"/>
    <x v="21"/>
    <x v="2"/>
    <n v="3"/>
    <n v="50"/>
    <n v="14"/>
    <n v="150"/>
    <x v="1"/>
    <n v="8"/>
    <x v="4"/>
    <n v="13"/>
    <x v="5"/>
    <x v="1"/>
    <n v="136"/>
    <n v="0.90666666699999998"/>
    <n v="1"/>
  </r>
  <r>
    <n v="463"/>
    <d v="2023-01-29T00:00:00"/>
    <d v="1899-12-30T20:22:00"/>
    <n v="55"/>
    <x v="1"/>
    <x v="29"/>
    <x v="1"/>
    <n v="3"/>
    <n v="500"/>
    <n v="175"/>
    <n v="1500"/>
    <x v="1"/>
    <n v="1"/>
    <x v="3"/>
    <n v="29"/>
    <x v="5"/>
    <x v="2"/>
    <n v="1325"/>
    <n v="0.88333333300000005"/>
    <n v="1"/>
  </r>
  <r>
    <n v="1463"/>
    <d v="2022-07-29T00:00:00"/>
    <d v="1899-12-30T19:45:00"/>
    <n v="98"/>
    <x v="1"/>
    <x v="29"/>
    <x v="1"/>
    <n v="3"/>
    <n v="500"/>
    <n v="170"/>
    <n v="1500"/>
    <x v="0"/>
    <n v="7"/>
    <x v="1"/>
    <n v="29"/>
    <x v="3"/>
    <x v="1"/>
    <n v="1330"/>
    <n v="0.88666666699999996"/>
    <n v="1"/>
  </r>
  <r>
    <n v="598"/>
    <d v="2022-06-23T00:00:00"/>
    <d v="1899-12-30T17:02:00"/>
    <n v="7"/>
    <x v="0"/>
    <x v="5"/>
    <x v="1"/>
    <n v="4"/>
    <n v="30"/>
    <n v="11.1"/>
    <n v="120"/>
    <x v="0"/>
    <n v="6"/>
    <x v="11"/>
    <n v="23"/>
    <x v="2"/>
    <x v="3"/>
    <n v="108.9"/>
    <n v="0.90749999999999997"/>
    <n v="0"/>
  </r>
  <r>
    <n v="667"/>
    <d v="2022-12-01T00:00:00"/>
    <d v="1899-12-30T18:46:00"/>
    <n v="22"/>
    <x v="1"/>
    <x v="33"/>
    <x v="2"/>
    <n v="1"/>
    <n v="500"/>
    <n v="190"/>
    <n v="500"/>
    <x v="0"/>
    <n v="12"/>
    <x v="2"/>
    <n v="1"/>
    <x v="2"/>
    <x v="0"/>
    <n v="310"/>
    <n v="0.62"/>
    <n v="1"/>
  </r>
  <r>
    <n v="672"/>
    <d v="2022-02-17T00:00:00"/>
    <d v="1899-12-30T19:44:00"/>
    <n v="1"/>
    <x v="1"/>
    <x v="23"/>
    <x v="1"/>
    <n v="2"/>
    <n v="50"/>
    <n v="27.5"/>
    <n v="100"/>
    <x v="0"/>
    <n v="2"/>
    <x v="10"/>
    <n v="17"/>
    <x v="2"/>
    <x v="2"/>
    <n v="72.5"/>
    <n v="0.72499999999999998"/>
    <n v="0"/>
  </r>
  <r>
    <n v="1598"/>
    <d v="2023-01-15T00:00:00"/>
    <d v="1899-12-30T19:17:00"/>
    <n v="126"/>
    <x v="0"/>
    <x v="5"/>
    <x v="1"/>
    <n v="4"/>
    <n v="30"/>
    <n v="9.9"/>
    <n v="120"/>
    <x v="1"/>
    <n v="1"/>
    <x v="3"/>
    <n v="15"/>
    <x v="5"/>
    <x v="2"/>
    <n v="110.1"/>
    <n v="0.91749999999999998"/>
    <n v="0"/>
  </r>
  <r>
    <n v="1667"/>
    <d v="2022-07-04T00:00:00"/>
    <d v="1899-12-30T19:09:00"/>
    <n v="40"/>
    <x v="1"/>
    <x v="33"/>
    <x v="2"/>
    <n v="1"/>
    <n v="500"/>
    <n v="125"/>
    <n v="500"/>
    <x v="0"/>
    <n v="7"/>
    <x v="1"/>
    <n v="4"/>
    <x v="1"/>
    <x v="1"/>
    <n v="375"/>
    <n v="0.75"/>
    <n v="1"/>
  </r>
  <r>
    <n v="1672"/>
    <d v="2023-03-28T00:00:00"/>
    <d v="1899-12-30T22:34:00"/>
    <n v="87"/>
    <x v="1"/>
    <x v="23"/>
    <x v="1"/>
    <n v="2"/>
    <n v="50"/>
    <n v="15.5"/>
    <n v="100"/>
    <x v="1"/>
    <n v="3"/>
    <x v="8"/>
    <n v="28"/>
    <x v="6"/>
    <x v="2"/>
    <n v="84.5"/>
    <n v="0.84499999999999997"/>
    <n v="0"/>
  </r>
  <r>
    <n v="949"/>
    <d v="2023-06-20T00:00:00"/>
    <d v="1899-12-30T20:28:00"/>
    <n v="21"/>
    <x v="1"/>
    <x v="0"/>
    <x v="2"/>
    <n v="2"/>
    <n v="25"/>
    <n v="9"/>
    <n v="50"/>
    <x v="1"/>
    <n v="6"/>
    <x v="11"/>
    <n v="20"/>
    <x v="6"/>
    <x v="3"/>
    <n v="41"/>
    <n v="0.82"/>
    <n v="0"/>
  </r>
  <r>
    <n v="1949"/>
    <d v="2022-11-11T00:00:00"/>
    <d v="1899-12-30T20:24:00"/>
    <n v="105"/>
    <x v="1"/>
    <x v="0"/>
    <x v="2"/>
    <n v="2"/>
    <n v="25"/>
    <n v="12.5"/>
    <n v="50"/>
    <x v="0"/>
    <n v="11"/>
    <x v="0"/>
    <n v="11"/>
    <x v="3"/>
    <x v="0"/>
    <n v="37.5"/>
    <n v="0.75"/>
    <n v="0"/>
  </r>
  <r>
    <n v="27"/>
    <d v="2023-12-14T00:00:00"/>
    <d v="1899-12-30T19:44:00"/>
    <n v="39"/>
    <x v="1"/>
    <x v="9"/>
    <x v="1"/>
    <n v="2"/>
    <n v="25"/>
    <n v="8.25"/>
    <n v="50"/>
    <x v="1"/>
    <n v="12"/>
    <x v="2"/>
    <n v="14"/>
    <x v="2"/>
    <x v="0"/>
    <n v="41.75"/>
    <n v="0.83499999999999996"/>
    <n v="0"/>
  </r>
  <r>
    <n v="347"/>
    <d v="2022-03-26T00:00:00"/>
    <d v="1899-12-30T19:31:00"/>
    <n v="26"/>
    <x v="0"/>
    <x v="25"/>
    <x v="2"/>
    <n v="1"/>
    <n v="25"/>
    <n v="7"/>
    <n v="25"/>
    <x v="0"/>
    <n v="3"/>
    <x v="8"/>
    <n v="26"/>
    <x v="0"/>
    <x v="2"/>
    <n v="18"/>
    <n v="0.72"/>
    <n v="0"/>
  </r>
  <r>
    <n v="687"/>
    <d v="2022-06-27T00:00:00"/>
    <d v="1899-12-30T17:14:00"/>
    <n v="86"/>
    <x v="1"/>
    <x v="21"/>
    <x v="2"/>
    <n v="1"/>
    <n v="300"/>
    <n v="150"/>
    <n v="300"/>
    <x v="0"/>
    <n v="6"/>
    <x v="11"/>
    <n v="27"/>
    <x v="1"/>
    <x v="3"/>
    <n v="150"/>
    <n v="0.5"/>
    <n v="1"/>
  </r>
  <r>
    <n v="1027"/>
    <d v="2022-04-30T00:00:00"/>
    <d v="1899-12-30T21:00:00"/>
    <n v="131"/>
    <x v="1"/>
    <x v="9"/>
    <x v="1"/>
    <n v="2"/>
    <n v="25"/>
    <n v="7.5"/>
    <n v="50"/>
    <x v="0"/>
    <n v="4"/>
    <x v="6"/>
    <n v="30"/>
    <x v="0"/>
    <x v="3"/>
    <n v="42.5"/>
    <n v="0.85"/>
    <n v="0"/>
  </r>
  <r>
    <n v="1347"/>
    <d v="2023-11-21T00:00:00"/>
    <d v="1899-12-30T21:55:00"/>
    <n v="7"/>
    <x v="0"/>
    <x v="25"/>
    <x v="2"/>
    <n v="1"/>
    <n v="25"/>
    <n v="13"/>
    <n v="25"/>
    <x v="1"/>
    <n v="11"/>
    <x v="0"/>
    <n v="21"/>
    <x v="6"/>
    <x v="0"/>
    <n v="12"/>
    <n v="0.48"/>
    <n v="0"/>
  </r>
  <r>
    <n v="1687"/>
    <d v="2023-02-17T00:00:00"/>
    <d v="1899-12-30T22:27:00"/>
    <n v="102"/>
    <x v="1"/>
    <x v="21"/>
    <x v="2"/>
    <n v="1"/>
    <n v="300"/>
    <n v="81"/>
    <n v="300"/>
    <x v="1"/>
    <n v="2"/>
    <x v="10"/>
    <n v="17"/>
    <x v="3"/>
    <x v="2"/>
    <n v="219"/>
    <n v="0.73"/>
    <n v="1"/>
  </r>
  <r>
    <n v="549"/>
    <d v="2022-11-03T00:00:00"/>
    <d v="1899-12-30T19:39:00"/>
    <n v="114"/>
    <x v="1"/>
    <x v="20"/>
    <x v="1"/>
    <n v="2"/>
    <n v="50"/>
    <n v="12.5"/>
    <n v="100"/>
    <x v="0"/>
    <n v="11"/>
    <x v="0"/>
    <n v="3"/>
    <x v="2"/>
    <x v="0"/>
    <n v="87.5"/>
    <n v="0.875"/>
    <n v="0"/>
  </r>
  <r>
    <n v="675"/>
    <d v="2023-07-19T00:00:00"/>
    <d v="1899-12-30T18:10:00"/>
    <n v="26"/>
    <x v="1"/>
    <x v="14"/>
    <x v="0"/>
    <n v="2"/>
    <n v="30"/>
    <n v="15.9"/>
    <n v="60"/>
    <x v="1"/>
    <n v="7"/>
    <x v="1"/>
    <n v="19"/>
    <x v="4"/>
    <x v="1"/>
    <n v="44.1"/>
    <n v="0.73499999999999999"/>
    <n v="0"/>
  </r>
  <r>
    <n v="730"/>
    <d v="2022-02-20T00:00:00"/>
    <d v="1899-12-30T19:38:00"/>
    <n v="131"/>
    <x v="1"/>
    <x v="31"/>
    <x v="0"/>
    <n v="2"/>
    <n v="25"/>
    <n v="13.25"/>
    <n v="50"/>
    <x v="0"/>
    <n v="2"/>
    <x v="10"/>
    <n v="20"/>
    <x v="5"/>
    <x v="2"/>
    <n v="36.75"/>
    <n v="0.73499999999999999"/>
    <n v="0"/>
  </r>
  <r>
    <n v="798"/>
    <d v="2023-01-20T00:00:00"/>
    <d v="1899-12-30T21:19:00"/>
    <n v="73"/>
    <x v="0"/>
    <x v="45"/>
    <x v="0"/>
    <n v="1"/>
    <n v="50"/>
    <n v="15"/>
    <n v="50"/>
    <x v="1"/>
    <n v="1"/>
    <x v="3"/>
    <n v="20"/>
    <x v="3"/>
    <x v="2"/>
    <n v="35"/>
    <n v="0.7"/>
    <n v="0"/>
  </r>
  <r>
    <n v="1549"/>
    <d v="2023-11-15T00:00:00"/>
    <d v="1899-12-30T19:25:00"/>
    <n v="109"/>
    <x v="1"/>
    <x v="20"/>
    <x v="1"/>
    <n v="2"/>
    <n v="50"/>
    <n v="14.5"/>
    <n v="100"/>
    <x v="1"/>
    <n v="11"/>
    <x v="0"/>
    <n v="15"/>
    <x v="4"/>
    <x v="0"/>
    <n v="85.5"/>
    <n v="0.85499999999999998"/>
    <n v="0"/>
  </r>
  <r>
    <n v="1675"/>
    <d v="2022-05-17T00:00:00"/>
    <d v="1899-12-30T19:55:00"/>
    <n v="152"/>
    <x v="1"/>
    <x v="14"/>
    <x v="0"/>
    <n v="2"/>
    <n v="30"/>
    <n v="16.2"/>
    <n v="60"/>
    <x v="0"/>
    <n v="5"/>
    <x v="7"/>
    <n v="17"/>
    <x v="6"/>
    <x v="3"/>
    <n v="43.8"/>
    <n v="0.73"/>
    <n v="0"/>
  </r>
  <r>
    <n v="1730"/>
    <d v="2023-08-14T00:00:00"/>
    <d v="1899-12-30T19:17:00"/>
    <n v="116"/>
    <x v="1"/>
    <x v="31"/>
    <x v="0"/>
    <n v="2"/>
    <n v="25"/>
    <n v="10.75"/>
    <n v="50"/>
    <x v="1"/>
    <n v="8"/>
    <x v="4"/>
    <n v="14"/>
    <x v="1"/>
    <x v="1"/>
    <n v="39.25"/>
    <n v="0.78500000000000003"/>
    <n v="0"/>
  </r>
  <r>
    <n v="1798"/>
    <d v="2023-07-18T00:00:00"/>
    <d v="1899-12-30T20:26:00"/>
    <n v="96"/>
    <x v="0"/>
    <x v="45"/>
    <x v="0"/>
    <n v="1"/>
    <n v="50"/>
    <n v="20"/>
    <n v="50"/>
    <x v="1"/>
    <n v="7"/>
    <x v="1"/>
    <n v="18"/>
    <x v="6"/>
    <x v="1"/>
    <n v="30"/>
    <n v="0.6"/>
    <n v="0"/>
  </r>
  <r>
    <n v="13"/>
    <d v="2023-02-08T00:00:00"/>
    <d v="1899-12-30T17:43:00"/>
    <n v="106"/>
    <x v="0"/>
    <x v="30"/>
    <x v="2"/>
    <n v="3"/>
    <n v="500"/>
    <n v="245"/>
    <n v="1500"/>
    <x v="1"/>
    <n v="2"/>
    <x v="10"/>
    <n v="8"/>
    <x v="4"/>
    <x v="2"/>
    <n v="1255"/>
    <n v="0.83666666700000003"/>
    <n v="1"/>
  </r>
  <r>
    <n v="35"/>
    <d v="2022-10-29T00:00:00"/>
    <d v="1899-12-30T17:30:00"/>
    <n v="122"/>
    <x v="1"/>
    <x v="43"/>
    <x v="1"/>
    <n v="3"/>
    <n v="300"/>
    <n v="126"/>
    <n v="900"/>
    <x v="0"/>
    <n v="10"/>
    <x v="5"/>
    <n v="29"/>
    <x v="0"/>
    <x v="0"/>
    <n v="774"/>
    <n v="0.86"/>
    <n v="1"/>
  </r>
  <r>
    <n v="140"/>
    <d v="2022-07-07T00:00:00"/>
    <d v="1899-12-30T20:20:00"/>
    <n v="61"/>
    <x v="0"/>
    <x v="9"/>
    <x v="2"/>
    <n v="1"/>
    <n v="30"/>
    <n v="14.4"/>
    <n v="30"/>
    <x v="0"/>
    <n v="7"/>
    <x v="1"/>
    <n v="7"/>
    <x v="2"/>
    <x v="1"/>
    <n v="15.6"/>
    <n v="0.52"/>
    <n v="0"/>
  </r>
  <r>
    <n v="206"/>
    <d v="2022-09-02T00:00:00"/>
    <d v="1899-12-30T18:18:00"/>
    <n v="31"/>
    <x v="0"/>
    <x v="45"/>
    <x v="0"/>
    <n v="1"/>
    <n v="25"/>
    <n v="11.75"/>
    <n v="25"/>
    <x v="0"/>
    <n v="9"/>
    <x v="9"/>
    <n v="2"/>
    <x v="3"/>
    <x v="1"/>
    <n v="13.25"/>
    <n v="0.53"/>
    <n v="0"/>
  </r>
  <r>
    <n v="261"/>
    <d v="2022-02-06T00:00:00"/>
    <d v="1899-12-30T17:48:00"/>
    <n v="16"/>
    <x v="0"/>
    <x v="40"/>
    <x v="0"/>
    <n v="2"/>
    <n v="25"/>
    <n v="8.25"/>
    <n v="50"/>
    <x v="0"/>
    <n v="2"/>
    <x v="10"/>
    <n v="6"/>
    <x v="5"/>
    <x v="2"/>
    <n v="41.75"/>
    <n v="0.83499999999999996"/>
    <n v="0"/>
  </r>
  <r>
    <n v="279"/>
    <d v="2023-08-10T00:00:00"/>
    <d v="1899-12-30T17:29:00"/>
    <n v="38"/>
    <x v="0"/>
    <x v="20"/>
    <x v="0"/>
    <n v="1"/>
    <n v="500"/>
    <n v="210"/>
    <n v="500"/>
    <x v="1"/>
    <n v="8"/>
    <x v="4"/>
    <n v="10"/>
    <x v="2"/>
    <x v="1"/>
    <n v="290"/>
    <n v="0.57999999999999996"/>
    <n v="1"/>
  </r>
  <r>
    <n v="308"/>
    <d v="2022-03-31T00:00:00"/>
    <d v="1899-12-30T19:12:00"/>
    <n v="130"/>
    <x v="1"/>
    <x v="23"/>
    <x v="1"/>
    <n v="4"/>
    <n v="300"/>
    <n v="126"/>
    <n v="1200"/>
    <x v="0"/>
    <n v="3"/>
    <x v="8"/>
    <n v="31"/>
    <x v="2"/>
    <x v="2"/>
    <n v="1074"/>
    <n v="0.89500000000000002"/>
    <n v="1"/>
  </r>
  <r>
    <n v="418"/>
    <d v="2022-04-01T00:00:00"/>
    <d v="1899-12-30T18:05:00"/>
    <n v="95"/>
    <x v="1"/>
    <x v="13"/>
    <x v="2"/>
    <n v="2"/>
    <n v="500"/>
    <n v="155"/>
    <n v="1000"/>
    <x v="0"/>
    <n v="4"/>
    <x v="6"/>
    <n v="1"/>
    <x v="3"/>
    <x v="3"/>
    <n v="845"/>
    <n v="0.84499999999999997"/>
    <n v="1"/>
  </r>
  <r>
    <n v="1013"/>
    <d v="2022-07-16T00:00:00"/>
    <d v="1899-12-30T19:38:00"/>
    <n v="111"/>
    <x v="0"/>
    <x v="30"/>
    <x v="2"/>
    <n v="3"/>
    <n v="500"/>
    <n v="200"/>
    <n v="1500"/>
    <x v="0"/>
    <n v="7"/>
    <x v="1"/>
    <n v="16"/>
    <x v="0"/>
    <x v="1"/>
    <n v="1300"/>
    <n v="0.86666666699999995"/>
    <n v="1"/>
  </r>
  <r>
    <n v="1035"/>
    <d v="2023-04-26T00:00:00"/>
    <d v="1899-12-30T21:56:00"/>
    <n v="52"/>
    <x v="1"/>
    <x v="43"/>
    <x v="1"/>
    <n v="3"/>
    <n v="300"/>
    <n v="105"/>
    <n v="900"/>
    <x v="1"/>
    <n v="4"/>
    <x v="6"/>
    <n v="26"/>
    <x v="4"/>
    <x v="3"/>
    <n v="795"/>
    <n v="0.88333333300000005"/>
    <n v="1"/>
  </r>
  <r>
    <n v="1140"/>
    <d v="2022-05-22T00:00:00"/>
    <d v="1899-12-30T19:26:00"/>
    <n v="154"/>
    <x v="0"/>
    <x v="9"/>
    <x v="2"/>
    <n v="1"/>
    <n v="30"/>
    <n v="15.9"/>
    <n v="30"/>
    <x v="0"/>
    <n v="5"/>
    <x v="7"/>
    <n v="22"/>
    <x v="5"/>
    <x v="3"/>
    <n v="14.1"/>
    <n v="0.47"/>
    <n v="0"/>
  </r>
  <r>
    <n v="1206"/>
    <d v="2023-05-14T00:00:00"/>
    <d v="1899-12-30T19:45:00"/>
    <n v="68"/>
    <x v="0"/>
    <x v="45"/>
    <x v="0"/>
    <n v="1"/>
    <n v="25"/>
    <n v="8.5"/>
    <n v="25"/>
    <x v="1"/>
    <n v="5"/>
    <x v="7"/>
    <n v="14"/>
    <x v="5"/>
    <x v="3"/>
    <n v="16.5"/>
    <n v="0.66"/>
    <n v="0"/>
  </r>
  <r>
    <n v="1261"/>
    <d v="2022-09-27T00:00:00"/>
    <d v="1899-12-30T21:19:00"/>
    <n v="116"/>
    <x v="0"/>
    <x v="40"/>
    <x v="0"/>
    <n v="2"/>
    <n v="25"/>
    <n v="6.25"/>
    <n v="50"/>
    <x v="0"/>
    <n v="9"/>
    <x v="9"/>
    <n v="27"/>
    <x v="6"/>
    <x v="1"/>
    <n v="43.75"/>
    <n v="0.875"/>
    <n v="0"/>
  </r>
  <r>
    <n v="1279"/>
    <d v="2022-04-21T00:00:00"/>
    <d v="1899-12-30T22:55:00"/>
    <n v="116"/>
    <x v="0"/>
    <x v="20"/>
    <x v="0"/>
    <n v="1"/>
    <n v="500"/>
    <n v="170"/>
    <n v="500"/>
    <x v="0"/>
    <n v="4"/>
    <x v="6"/>
    <n v="21"/>
    <x v="2"/>
    <x v="3"/>
    <n v="330"/>
    <n v="0.66"/>
    <n v="1"/>
  </r>
  <r>
    <n v="1308"/>
    <d v="2023-06-19T00:00:00"/>
    <d v="1899-12-30T22:39:00"/>
    <n v="91"/>
    <x v="1"/>
    <x v="23"/>
    <x v="1"/>
    <n v="4"/>
    <n v="300"/>
    <n v="150"/>
    <n v="1200"/>
    <x v="1"/>
    <n v="6"/>
    <x v="11"/>
    <n v="19"/>
    <x v="1"/>
    <x v="3"/>
    <n v="1050"/>
    <n v="0.875"/>
    <n v="1"/>
  </r>
  <r>
    <n v="1418"/>
    <d v="2022-09-17T00:00:00"/>
    <d v="1899-12-30T18:19:00"/>
    <n v="68"/>
    <x v="1"/>
    <x v="13"/>
    <x v="2"/>
    <n v="2"/>
    <n v="500"/>
    <n v="215"/>
    <n v="1000"/>
    <x v="0"/>
    <n v="9"/>
    <x v="9"/>
    <n v="17"/>
    <x v="0"/>
    <x v="1"/>
    <n v="785"/>
    <n v="0.78500000000000003"/>
    <n v="1"/>
  </r>
  <r>
    <n v="612"/>
    <d v="2022-02-23T00:00:00"/>
    <d v="1899-12-30T19:06:00"/>
    <n v="77"/>
    <x v="1"/>
    <x v="45"/>
    <x v="2"/>
    <n v="1"/>
    <n v="500"/>
    <n v="235"/>
    <n v="500"/>
    <x v="0"/>
    <n v="2"/>
    <x v="10"/>
    <n v="23"/>
    <x v="4"/>
    <x v="2"/>
    <n v="265"/>
    <n v="0.53"/>
    <n v="1"/>
  </r>
  <r>
    <n v="875"/>
    <d v="2023-11-30T00:00:00"/>
    <d v="1899-12-30T21:47:00"/>
    <n v="134"/>
    <x v="1"/>
    <x v="12"/>
    <x v="2"/>
    <n v="4"/>
    <n v="500"/>
    <n v="135"/>
    <n v="2000"/>
    <x v="1"/>
    <n v="11"/>
    <x v="0"/>
    <n v="30"/>
    <x v="2"/>
    <x v="0"/>
    <n v="1865"/>
    <n v="0.9325"/>
    <n v="1"/>
  </r>
  <r>
    <n v="1612"/>
    <d v="2022-12-18T00:00:00"/>
    <d v="1899-12-30T21:14:00"/>
    <n v="140"/>
    <x v="1"/>
    <x v="45"/>
    <x v="2"/>
    <n v="1"/>
    <n v="500"/>
    <n v="230"/>
    <n v="500"/>
    <x v="0"/>
    <n v="12"/>
    <x v="2"/>
    <n v="18"/>
    <x v="5"/>
    <x v="0"/>
    <n v="270"/>
    <n v="0.54"/>
    <n v="1"/>
  </r>
  <r>
    <n v="1875"/>
    <d v="2022-06-03T00:00:00"/>
    <d v="1899-12-30T22:42:00"/>
    <n v="141"/>
    <x v="1"/>
    <x v="12"/>
    <x v="2"/>
    <n v="4"/>
    <n v="500"/>
    <n v="165"/>
    <n v="2000"/>
    <x v="0"/>
    <n v="6"/>
    <x v="11"/>
    <n v="3"/>
    <x v="3"/>
    <x v="3"/>
    <n v="1835"/>
    <n v="0.91749999999999998"/>
    <n v="1"/>
  </r>
  <r>
    <n v="430"/>
    <d v="2023-05-23T00:00:00"/>
    <d v="1899-12-30T18:36:00"/>
    <n v="100"/>
    <x v="1"/>
    <x v="22"/>
    <x v="2"/>
    <n v="3"/>
    <n v="300"/>
    <n v="153"/>
    <n v="900"/>
    <x v="1"/>
    <n v="5"/>
    <x v="7"/>
    <n v="23"/>
    <x v="6"/>
    <x v="3"/>
    <n v="747"/>
    <n v="0.83"/>
    <n v="1"/>
  </r>
  <r>
    <n v="633"/>
    <d v="2023-07-06T00:00:00"/>
    <d v="1899-12-30T22:20:00"/>
    <n v="35"/>
    <x v="0"/>
    <x v="27"/>
    <x v="1"/>
    <n v="4"/>
    <n v="30"/>
    <n v="12.3"/>
    <n v="120"/>
    <x v="1"/>
    <n v="7"/>
    <x v="1"/>
    <n v="6"/>
    <x v="2"/>
    <x v="1"/>
    <n v="107.7"/>
    <n v="0.89749999999999996"/>
    <n v="0"/>
  </r>
  <r>
    <n v="1430"/>
    <d v="2023-10-31T00:00:00"/>
    <d v="1899-12-30T18:25:00"/>
    <n v="22"/>
    <x v="1"/>
    <x v="22"/>
    <x v="2"/>
    <n v="3"/>
    <n v="300"/>
    <n v="132"/>
    <n v="900"/>
    <x v="1"/>
    <n v="10"/>
    <x v="5"/>
    <n v="31"/>
    <x v="6"/>
    <x v="0"/>
    <n v="768"/>
    <n v="0.85333333300000003"/>
    <n v="1"/>
  </r>
  <r>
    <n v="1633"/>
    <d v="2022-12-31T00:00:00"/>
    <d v="1899-12-30T18:18:00"/>
    <n v="152"/>
    <x v="0"/>
    <x v="27"/>
    <x v="1"/>
    <n v="4"/>
    <n v="30"/>
    <n v="11.4"/>
    <n v="120"/>
    <x v="0"/>
    <n v="12"/>
    <x v="2"/>
    <n v="31"/>
    <x v="0"/>
    <x v="0"/>
    <n v="108.6"/>
    <n v="0.90500000000000003"/>
    <n v="0"/>
  </r>
  <r>
    <n v="125"/>
    <d v="2022-09-28T00:00:00"/>
    <d v="1899-12-30T18:48:00"/>
    <n v="137"/>
    <x v="0"/>
    <x v="42"/>
    <x v="0"/>
    <n v="2"/>
    <n v="50"/>
    <n v="19"/>
    <n v="100"/>
    <x v="0"/>
    <n v="9"/>
    <x v="9"/>
    <n v="28"/>
    <x v="4"/>
    <x v="1"/>
    <n v="81"/>
    <n v="0.81"/>
    <n v="0"/>
  </r>
  <r>
    <n v="716"/>
    <d v="2023-08-13T00:00:00"/>
    <d v="1899-12-30T19:51:00"/>
    <n v="137"/>
    <x v="1"/>
    <x v="13"/>
    <x v="0"/>
    <n v="4"/>
    <n v="300"/>
    <n v="108"/>
    <n v="1200"/>
    <x v="1"/>
    <n v="8"/>
    <x v="4"/>
    <n v="13"/>
    <x v="5"/>
    <x v="1"/>
    <n v="1092"/>
    <n v="0.91"/>
    <n v="1"/>
  </r>
  <r>
    <n v="790"/>
    <d v="2023-04-13T00:00:00"/>
    <d v="1899-12-30T20:47:00"/>
    <n v="29"/>
    <x v="0"/>
    <x v="44"/>
    <x v="0"/>
    <n v="1"/>
    <n v="25"/>
    <n v="9.25"/>
    <n v="25"/>
    <x v="1"/>
    <n v="4"/>
    <x v="6"/>
    <n v="13"/>
    <x v="2"/>
    <x v="3"/>
    <n v="15.75"/>
    <n v="0.63"/>
    <n v="0"/>
  </r>
  <r>
    <n v="960"/>
    <d v="2023-03-29T00:00:00"/>
    <d v="1899-12-30T19:01:00"/>
    <n v="134"/>
    <x v="0"/>
    <x v="26"/>
    <x v="0"/>
    <n v="2"/>
    <n v="30"/>
    <n v="14.4"/>
    <n v="60"/>
    <x v="1"/>
    <n v="3"/>
    <x v="8"/>
    <n v="29"/>
    <x v="4"/>
    <x v="2"/>
    <n v="45.6"/>
    <n v="0.76"/>
    <n v="0"/>
  </r>
  <r>
    <n v="1125"/>
    <d v="2023-11-12T00:00:00"/>
    <d v="1899-12-30T17:51:00"/>
    <n v="79"/>
    <x v="0"/>
    <x v="42"/>
    <x v="0"/>
    <n v="2"/>
    <n v="50"/>
    <n v="21.5"/>
    <n v="100"/>
    <x v="1"/>
    <n v="11"/>
    <x v="0"/>
    <n v="12"/>
    <x v="5"/>
    <x v="0"/>
    <n v="78.5"/>
    <n v="0.78500000000000003"/>
    <n v="0"/>
  </r>
  <r>
    <n v="1716"/>
    <d v="2022-02-12T00:00:00"/>
    <d v="1899-12-30T19:16:00"/>
    <n v="39"/>
    <x v="1"/>
    <x v="13"/>
    <x v="0"/>
    <n v="4"/>
    <n v="300"/>
    <n v="87"/>
    <n v="1200"/>
    <x v="0"/>
    <n v="2"/>
    <x v="10"/>
    <n v="12"/>
    <x v="0"/>
    <x v="2"/>
    <n v="1113"/>
    <n v="0.92749999999999999"/>
    <n v="1"/>
  </r>
  <r>
    <n v="1790"/>
    <d v="2023-05-14T00:00:00"/>
    <d v="1899-12-30T20:52:00"/>
    <n v="147"/>
    <x v="0"/>
    <x v="44"/>
    <x v="0"/>
    <n v="1"/>
    <n v="25"/>
    <n v="7.5"/>
    <n v="25"/>
    <x v="1"/>
    <n v="5"/>
    <x v="7"/>
    <n v="14"/>
    <x v="5"/>
    <x v="3"/>
    <n v="17.5"/>
    <n v="0.7"/>
    <n v="0"/>
  </r>
  <r>
    <n v="1960"/>
    <d v="2022-06-29T00:00:00"/>
    <d v="1899-12-30T22:04:00"/>
    <n v="67"/>
    <x v="0"/>
    <x v="26"/>
    <x v="0"/>
    <n v="2"/>
    <n v="30"/>
    <n v="13.2"/>
    <n v="60"/>
    <x v="0"/>
    <n v="6"/>
    <x v="11"/>
    <n v="29"/>
    <x v="4"/>
    <x v="3"/>
    <n v="46.8"/>
    <n v="0.78"/>
    <n v="0"/>
  </r>
  <r>
    <n v="259"/>
    <d v="2023-03-11T00:00:00"/>
    <d v="1899-12-30T20:26:00"/>
    <n v="93"/>
    <x v="1"/>
    <x v="14"/>
    <x v="0"/>
    <n v="4"/>
    <n v="50"/>
    <n v="22.5"/>
    <n v="200"/>
    <x v="1"/>
    <n v="3"/>
    <x v="8"/>
    <n v="11"/>
    <x v="0"/>
    <x v="2"/>
    <n v="177.5"/>
    <n v="0.88749999999999996"/>
    <n v="1"/>
  </r>
  <r>
    <n v="443"/>
    <d v="2023-09-19T00:00:00"/>
    <d v="1899-12-30T20:25:00"/>
    <n v="98"/>
    <x v="0"/>
    <x v="33"/>
    <x v="0"/>
    <n v="2"/>
    <n v="300"/>
    <n v="114"/>
    <n v="600"/>
    <x v="1"/>
    <n v="9"/>
    <x v="9"/>
    <n v="19"/>
    <x v="6"/>
    <x v="1"/>
    <n v="486"/>
    <n v="0.81"/>
    <n v="1"/>
  </r>
  <r>
    <n v="529"/>
    <d v="2022-11-29T00:00:00"/>
    <d v="1899-12-30T17:43:00"/>
    <n v="46"/>
    <x v="1"/>
    <x v="39"/>
    <x v="0"/>
    <n v="3"/>
    <n v="50"/>
    <n v="20.5"/>
    <n v="150"/>
    <x v="0"/>
    <n v="11"/>
    <x v="0"/>
    <n v="29"/>
    <x v="6"/>
    <x v="0"/>
    <n v="129.5"/>
    <n v="0.86333333300000004"/>
    <n v="1"/>
  </r>
  <r>
    <n v="563"/>
    <d v="2022-12-21T00:00:00"/>
    <d v="1899-12-30T18:40:00"/>
    <n v="150"/>
    <x v="0"/>
    <x v="36"/>
    <x v="0"/>
    <n v="2"/>
    <n v="30"/>
    <n v="16.2"/>
    <n v="60"/>
    <x v="0"/>
    <n v="12"/>
    <x v="2"/>
    <n v="21"/>
    <x v="4"/>
    <x v="0"/>
    <n v="43.8"/>
    <n v="0.73"/>
    <n v="0"/>
  </r>
  <r>
    <n v="1259"/>
    <d v="2022-11-03T00:00:00"/>
    <d v="1899-12-30T17:31:00"/>
    <n v="105"/>
    <x v="1"/>
    <x v="14"/>
    <x v="0"/>
    <n v="4"/>
    <n v="50"/>
    <n v="21"/>
    <n v="200"/>
    <x v="0"/>
    <n v="11"/>
    <x v="0"/>
    <n v="3"/>
    <x v="2"/>
    <x v="0"/>
    <n v="179"/>
    <n v="0.89500000000000002"/>
    <n v="1"/>
  </r>
  <r>
    <n v="1443"/>
    <d v="2022-06-18T00:00:00"/>
    <d v="1899-12-30T19:37:00"/>
    <n v="81"/>
    <x v="0"/>
    <x v="33"/>
    <x v="0"/>
    <n v="2"/>
    <n v="300"/>
    <n v="147"/>
    <n v="600"/>
    <x v="0"/>
    <n v="6"/>
    <x v="11"/>
    <n v="18"/>
    <x v="0"/>
    <x v="3"/>
    <n v="453"/>
    <n v="0.755"/>
    <n v="1"/>
  </r>
  <r>
    <n v="1529"/>
    <d v="2022-09-17T00:00:00"/>
    <d v="1899-12-30T22:38:00"/>
    <n v="105"/>
    <x v="1"/>
    <x v="39"/>
    <x v="0"/>
    <n v="3"/>
    <n v="50"/>
    <n v="17"/>
    <n v="150"/>
    <x v="0"/>
    <n v="9"/>
    <x v="9"/>
    <n v="17"/>
    <x v="0"/>
    <x v="1"/>
    <n v="133"/>
    <n v="0.88666666699999996"/>
    <n v="1"/>
  </r>
  <r>
    <n v="1563"/>
    <d v="2022-10-13T00:00:00"/>
    <d v="1899-12-30T17:44:00"/>
    <n v="22"/>
    <x v="0"/>
    <x v="36"/>
    <x v="0"/>
    <n v="2"/>
    <n v="30"/>
    <n v="15.3"/>
    <n v="60"/>
    <x v="0"/>
    <n v="10"/>
    <x v="5"/>
    <n v="13"/>
    <x v="2"/>
    <x v="0"/>
    <n v="44.7"/>
    <n v="0.745"/>
    <n v="0"/>
  </r>
  <r>
    <n v="801"/>
    <d v="2022-12-01T00:00:00"/>
    <d v="1899-12-30T17:14:00"/>
    <n v="153"/>
    <x v="0"/>
    <x v="40"/>
    <x v="0"/>
    <n v="4"/>
    <n v="50"/>
    <n v="19"/>
    <n v="200"/>
    <x v="0"/>
    <n v="12"/>
    <x v="2"/>
    <n v="1"/>
    <x v="2"/>
    <x v="0"/>
    <n v="181"/>
    <n v="0.90500000000000003"/>
    <n v="1"/>
  </r>
  <r>
    <n v="1801"/>
    <d v="2022-07-10T00:00:00"/>
    <d v="1899-12-30T22:01:00"/>
    <n v="148"/>
    <x v="0"/>
    <x v="40"/>
    <x v="0"/>
    <n v="4"/>
    <n v="50"/>
    <n v="13.5"/>
    <n v="200"/>
    <x v="0"/>
    <n v="7"/>
    <x v="1"/>
    <n v="10"/>
    <x v="5"/>
    <x v="1"/>
    <n v="186.5"/>
    <n v="0.9325"/>
    <n v="1"/>
  </r>
  <r>
    <n v="160"/>
    <d v="2022-07-20T00:00:00"/>
    <d v="1899-12-30T17:08:00"/>
    <n v="127"/>
    <x v="1"/>
    <x v="22"/>
    <x v="0"/>
    <n v="2"/>
    <n v="50"/>
    <n v="26.5"/>
    <n v="100"/>
    <x v="0"/>
    <n v="7"/>
    <x v="1"/>
    <n v="20"/>
    <x v="4"/>
    <x v="1"/>
    <n v="73.5"/>
    <n v="0.73499999999999999"/>
    <n v="0"/>
  </r>
  <r>
    <n v="508"/>
    <d v="2023-07-05T00:00:00"/>
    <d v="1899-12-30T22:52:00"/>
    <n v="32"/>
    <x v="0"/>
    <x v="43"/>
    <x v="1"/>
    <n v="2"/>
    <n v="300"/>
    <n v="123"/>
    <n v="600"/>
    <x v="1"/>
    <n v="7"/>
    <x v="1"/>
    <n v="5"/>
    <x v="4"/>
    <x v="1"/>
    <n v="477"/>
    <n v="0.79500000000000004"/>
    <n v="1"/>
  </r>
  <r>
    <n v="807"/>
    <d v="2023-01-26T00:00:00"/>
    <d v="1899-12-30T19:49:00"/>
    <n v="91"/>
    <x v="1"/>
    <x v="20"/>
    <x v="2"/>
    <n v="4"/>
    <n v="50"/>
    <n v="15.5"/>
    <n v="200"/>
    <x v="1"/>
    <n v="1"/>
    <x v="3"/>
    <n v="26"/>
    <x v="2"/>
    <x v="2"/>
    <n v="184.5"/>
    <n v="0.92249999999999999"/>
    <n v="1"/>
  </r>
  <r>
    <n v="1160"/>
    <d v="2023-08-20T00:00:00"/>
    <d v="1899-12-30T19:20:00"/>
    <n v="105"/>
    <x v="1"/>
    <x v="22"/>
    <x v="0"/>
    <n v="2"/>
    <n v="50"/>
    <n v="14"/>
    <n v="100"/>
    <x v="1"/>
    <n v="8"/>
    <x v="4"/>
    <n v="20"/>
    <x v="5"/>
    <x v="1"/>
    <n v="86"/>
    <n v="0.86"/>
    <n v="0"/>
  </r>
  <r>
    <n v="1508"/>
    <d v="2022-04-08T00:00:00"/>
    <d v="1899-12-30T20:32:00"/>
    <n v="90"/>
    <x v="0"/>
    <x v="43"/>
    <x v="1"/>
    <n v="2"/>
    <n v="300"/>
    <n v="81"/>
    <n v="600"/>
    <x v="0"/>
    <n v="4"/>
    <x v="6"/>
    <n v="8"/>
    <x v="3"/>
    <x v="3"/>
    <n v="519"/>
    <n v="0.86499999999999999"/>
    <n v="1"/>
  </r>
  <r>
    <n v="1807"/>
    <d v="2022-08-04T00:00:00"/>
    <d v="1899-12-30T22:15:00"/>
    <n v="19"/>
    <x v="1"/>
    <x v="20"/>
    <x v="2"/>
    <n v="4"/>
    <n v="50"/>
    <n v="22"/>
    <n v="200"/>
    <x v="0"/>
    <n v="8"/>
    <x v="4"/>
    <n v="4"/>
    <x v="2"/>
    <x v="1"/>
    <n v="178"/>
    <n v="0.89"/>
    <n v="1"/>
  </r>
  <r>
    <n v="511"/>
    <d v="2023-12-23T00:00:00"/>
    <d v="1899-12-30T18:19:00"/>
    <n v="146"/>
    <x v="0"/>
    <x v="14"/>
    <x v="1"/>
    <n v="2"/>
    <n v="50"/>
    <n v="24.5"/>
    <n v="100"/>
    <x v="1"/>
    <n v="12"/>
    <x v="2"/>
    <n v="23"/>
    <x v="0"/>
    <x v="0"/>
    <n v="75.5"/>
    <n v="0.755"/>
    <n v="0"/>
  </r>
  <r>
    <n v="521"/>
    <d v="2023-10-28T00:00:00"/>
    <d v="1899-12-30T19:56:00"/>
    <n v="133"/>
    <x v="1"/>
    <x v="35"/>
    <x v="0"/>
    <n v="4"/>
    <n v="30"/>
    <n v="8.6999999999999993"/>
    <n v="120"/>
    <x v="1"/>
    <n v="10"/>
    <x v="5"/>
    <n v="28"/>
    <x v="0"/>
    <x v="0"/>
    <n v="111.3"/>
    <n v="0.92749999999999999"/>
    <n v="0"/>
  </r>
  <r>
    <n v="695"/>
    <d v="2022-04-03T00:00:00"/>
    <d v="1899-12-30T22:12:00"/>
    <n v="52"/>
    <x v="1"/>
    <x v="30"/>
    <x v="2"/>
    <n v="3"/>
    <n v="50"/>
    <n v="21"/>
    <n v="150"/>
    <x v="0"/>
    <n v="4"/>
    <x v="6"/>
    <n v="3"/>
    <x v="5"/>
    <x v="3"/>
    <n v="129"/>
    <n v="0.86"/>
    <n v="1"/>
  </r>
  <r>
    <n v="816"/>
    <d v="2023-09-27T00:00:00"/>
    <d v="1899-12-30T19:29:00"/>
    <n v="133"/>
    <x v="0"/>
    <x v="35"/>
    <x v="1"/>
    <n v="2"/>
    <n v="500"/>
    <n v="240"/>
    <n v="1000"/>
    <x v="1"/>
    <n v="9"/>
    <x v="9"/>
    <n v="27"/>
    <x v="4"/>
    <x v="1"/>
    <n v="760"/>
    <n v="0.76"/>
    <n v="1"/>
  </r>
  <r>
    <n v="1511"/>
    <d v="2022-04-09T00:00:00"/>
    <d v="1899-12-30T21:36:00"/>
    <n v="45"/>
    <x v="0"/>
    <x v="14"/>
    <x v="1"/>
    <n v="2"/>
    <n v="50"/>
    <n v="13.5"/>
    <n v="100"/>
    <x v="0"/>
    <n v="4"/>
    <x v="6"/>
    <n v="9"/>
    <x v="0"/>
    <x v="3"/>
    <n v="86.5"/>
    <n v="0.86499999999999999"/>
    <n v="0"/>
  </r>
  <r>
    <n v="1521"/>
    <d v="2023-07-23T00:00:00"/>
    <d v="1899-12-30T19:08:00"/>
    <n v="30"/>
    <x v="1"/>
    <x v="35"/>
    <x v="0"/>
    <n v="4"/>
    <n v="30"/>
    <n v="12.9"/>
    <n v="120"/>
    <x v="1"/>
    <n v="7"/>
    <x v="1"/>
    <n v="23"/>
    <x v="5"/>
    <x v="1"/>
    <n v="107.1"/>
    <n v="0.89249999999999996"/>
    <n v="0"/>
  </r>
  <r>
    <n v="1695"/>
    <d v="2023-09-21T00:00:00"/>
    <d v="1899-12-30T20:51:00"/>
    <n v="85"/>
    <x v="1"/>
    <x v="30"/>
    <x v="2"/>
    <n v="3"/>
    <n v="50"/>
    <n v="23"/>
    <n v="150"/>
    <x v="1"/>
    <n v="9"/>
    <x v="9"/>
    <n v="21"/>
    <x v="2"/>
    <x v="1"/>
    <n v="127"/>
    <n v="0.84666666700000004"/>
    <n v="1"/>
  </r>
  <r>
    <n v="1816"/>
    <d v="2022-06-17T00:00:00"/>
    <d v="1899-12-30T22:30:00"/>
    <n v="52"/>
    <x v="0"/>
    <x v="35"/>
    <x v="1"/>
    <n v="2"/>
    <n v="500"/>
    <n v="245"/>
    <n v="1000"/>
    <x v="0"/>
    <n v="6"/>
    <x v="11"/>
    <n v="17"/>
    <x v="3"/>
    <x v="3"/>
    <n v="755"/>
    <n v="0.755"/>
    <n v="1"/>
  </r>
  <r>
    <n v="217"/>
    <d v="2022-05-02T00:00:00"/>
    <d v="1899-12-30T17:01:00"/>
    <n v="17"/>
    <x v="1"/>
    <x v="39"/>
    <x v="2"/>
    <n v="4"/>
    <n v="50"/>
    <n v="26.5"/>
    <n v="200"/>
    <x v="0"/>
    <n v="5"/>
    <x v="7"/>
    <n v="2"/>
    <x v="1"/>
    <x v="3"/>
    <n v="173.5"/>
    <n v="0.86750000000000005"/>
    <n v="1"/>
  </r>
  <r>
    <n v="384"/>
    <d v="2022-04-10T00:00:00"/>
    <d v="1899-12-30T19:53:00"/>
    <n v="127"/>
    <x v="0"/>
    <x v="46"/>
    <x v="0"/>
    <n v="1"/>
    <n v="500"/>
    <n v="145"/>
    <n v="500"/>
    <x v="0"/>
    <n v="4"/>
    <x v="6"/>
    <n v="10"/>
    <x v="5"/>
    <x v="3"/>
    <n v="355"/>
    <n v="0.71"/>
    <n v="1"/>
  </r>
  <r>
    <n v="1217"/>
    <d v="2023-10-16T00:00:00"/>
    <d v="1899-12-30T19:28:00"/>
    <n v="70"/>
    <x v="1"/>
    <x v="39"/>
    <x v="2"/>
    <n v="4"/>
    <n v="50"/>
    <n v="18"/>
    <n v="200"/>
    <x v="1"/>
    <n v="10"/>
    <x v="5"/>
    <n v="16"/>
    <x v="1"/>
    <x v="0"/>
    <n v="182"/>
    <n v="0.91"/>
    <n v="1"/>
  </r>
  <r>
    <n v="1384"/>
    <d v="2023-12-17T00:00:00"/>
    <d v="1899-12-30T20:23:00"/>
    <n v="106"/>
    <x v="0"/>
    <x v="46"/>
    <x v="0"/>
    <n v="1"/>
    <n v="500"/>
    <n v="260"/>
    <n v="500"/>
    <x v="1"/>
    <n v="12"/>
    <x v="2"/>
    <n v="17"/>
    <x v="5"/>
    <x v="0"/>
    <n v="240"/>
    <n v="0.48"/>
    <n v="1"/>
  </r>
  <r>
    <n v="648"/>
    <d v="2023-02-23T00:00:00"/>
    <d v="1899-12-30T18:13:00"/>
    <n v="41"/>
    <x v="0"/>
    <x v="21"/>
    <x v="1"/>
    <n v="4"/>
    <n v="300"/>
    <n v="138"/>
    <n v="1200"/>
    <x v="1"/>
    <n v="2"/>
    <x v="10"/>
    <n v="23"/>
    <x v="2"/>
    <x v="2"/>
    <n v="1062"/>
    <n v="0.88500000000000001"/>
    <n v="1"/>
  </r>
  <r>
    <n v="926"/>
    <d v="2023-10-06T00:00:00"/>
    <d v="1899-12-30T22:53:00"/>
    <n v="53"/>
    <x v="0"/>
    <x v="30"/>
    <x v="2"/>
    <n v="1"/>
    <n v="30"/>
    <n v="15.6"/>
    <n v="30"/>
    <x v="1"/>
    <n v="10"/>
    <x v="5"/>
    <n v="6"/>
    <x v="3"/>
    <x v="0"/>
    <n v="14.4"/>
    <n v="0.48"/>
    <n v="0"/>
  </r>
  <r>
    <n v="1648"/>
    <d v="2023-07-10T00:00:00"/>
    <d v="1899-12-30T17:18:00"/>
    <n v="16"/>
    <x v="0"/>
    <x v="21"/>
    <x v="1"/>
    <n v="4"/>
    <n v="300"/>
    <n v="87"/>
    <n v="1200"/>
    <x v="1"/>
    <n v="7"/>
    <x v="1"/>
    <n v="10"/>
    <x v="1"/>
    <x v="1"/>
    <n v="1113"/>
    <n v="0.92749999999999999"/>
    <n v="1"/>
  </r>
  <r>
    <n v="1926"/>
    <d v="2023-08-07T00:00:00"/>
    <d v="1899-12-30T20:22:00"/>
    <n v="74"/>
    <x v="0"/>
    <x v="30"/>
    <x v="2"/>
    <n v="1"/>
    <n v="30"/>
    <n v="9.6"/>
    <n v="30"/>
    <x v="1"/>
    <n v="8"/>
    <x v="4"/>
    <n v="7"/>
    <x v="1"/>
    <x v="1"/>
    <n v="20.399999999999999"/>
    <n v="0.68"/>
    <n v="0"/>
  </r>
  <r>
    <n v="285"/>
    <d v="2023-12-01T00:00:00"/>
    <d v="1899-12-30T18:14:00"/>
    <n v="107"/>
    <x v="1"/>
    <x v="16"/>
    <x v="2"/>
    <n v="1"/>
    <n v="25"/>
    <n v="13.5"/>
    <n v="25"/>
    <x v="1"/>
    <n v="12"/>
    <x v="2"/>
    <n v="1"/>
    <x v="3"/>
    <x v="0"/>
    <n v="11.5"/>
    <n v="0.46"/>
    <n v="0"/>
  </r>
  <r>
    <n v="427"/>
    <d v="2023-11-16T00:00:00"/>
    <d v="1899-12-30T21:26:00"/>
    <n v="120"/>
    <x v="0"/>
    <x v="38"/>
    <x v="2"/>
    <n v="1"/>
    <n v="25"/>
    <n v="11.75"/>
    <n v="25"/>
    <x v="1"/>
    <n v="11"/>
    <x v="0"/>
    <n v="16"/>
    <x v="2"/>
    <x v="0"/>
    <n v="13.25"/>
    <n v="0.53"/>
    <n v="0"/>
  </r>
  <r>
    <n v="569"/>
    <d v="2022-04-29T00:00:00"/>
    <d v="1899-12-30T20:49:00"/>
    <n v="132"/>
    <x v="0"/>
    <x v="41"/>
    <x v="2"/>
    <n v="4"/>
    <n v="50"/>
    <n v="19"/>
    <n v="200"/>
    <x v="0"/>
    <n v="4"/>
    <x v="6"/>
    <n v="29"/>
    <x v="3"/>
    <x v="3"/>
    <n v="181"/>
    <n v="0.90500000000000003"/>
    <n v="1"/>
  </r>
  <r>
    <n v="570"/>
    <d v="2022-06-09T00:00:00"/>
    <d v="1899-12-30T22:53:00"/>
    <n v="91"/>
    <x v="0"/>
    <x v="28"/>
    <x v="0"/>
    <n v="1"/>
    <n v="500"/>
    <n v="185"/>
    <n v="500"/>
    <x v="0"/>
    <n v="6"/>
    <x v="11"/>
    <n v="9"/>
    <x v="2"/>
    <x v="3"/>
    <n v="315"/>
    <n v="0.63"/>
    <n v="1"/>
  </r>
  <r>
    <n v="630"/>
    <d v="2023-03-21T00:00:00"/>
    <d v="1899-12-30T17:29:00"/>
    <n v="94"/>
    <x v="0"/>
    <x v="25"/>
    <x v="0"/>
    <n v="2"/>
    <n v="50"/>
    <n v="25.5"/>
    <n v="100"/>
    <x v="1"/>
    <n v="3"/>
    <x v="8"/>
    <n v="21"/>
    <x v="6"/>
    <x v="2"/>
    <n v="74.5"/>
    <n v="0.745"/>
    <n v="0"/>
  </r>
  <r>
    <n v="957"/>
    <d v="2023-06-19T00:00:00"/>
    <d v="1899-12-30T19:00:00"/>
    <n v="105"/>
    <x v="1"/>
    <x v="13"/>
    <x v="2"/>
    <n v="4"/>
    <n v="30"/>
    <n v="9.3000000000000007"/>
    <n v="120"/>
    <x v="1"/>
    <n v="6"/>
    <x v="11"/>
    <n v="19"/>
    <x v="1"/>
    <x v="3"/>
    <n v="110.7"/>
    <n v="0.92249999999999999"/>
    <n v="0"/>
  </r>
  <r>
    <n v="1285"/>
    <d v="2023-06-01T00:00:00"/>
    <d v="1899-12-30T21:55:00"/>
    <n v="130"/>
    <x v="1"/>
    <x v="16"/>
    <x v="2"/>
    <n v="1"/>
    <n v="25"/>
    <n v="12.25"/>
    <n v="25"/>
    <x v="1"/>
    <n v="6"/>
    <x v="11"/>
    <n v="1"/>
    <x v="2"/>
    <x v="3"/>
    <n v="12.75"/>
    <n v="0.51"/>
    <n v="0"/>
  </r>
  <r>
    <n v="1427"/>
    <d v="2023-07-15T00:00:00"/>
    <d v="1899-12-30T18:36:00"/>
    <n v="92"/>
    <x v="0"/>
    <x v="38"/>
    <x v="2"/>
    <n v="1"/>
    <n v="25"/>
    <n v="11.5"/>
    <n v="25"/>
    <x v="1"/>
    <n v="7"/>
    <x v="1"/>
    <n v="15"/>
    <x v="0"/>
    <x v="1"/>
    <n v="13.5"/>
    <n v="0.54"/>
    <n v="0"/>
  </r>
  <r>
    <n v="1569"/>
    <d v="2023-11-30T00:00:00"/>
    <d v="1899-12-30T21:07:00"/>
    <n v="35"/>
    <x v="0"/>
    <x v="41"/>
    <x v="2"/>
    <n v="4"/>
    <n v="50"/>
    <n v="18"/>
    <n v="200"/>
    <x v="1"/>
    <n v="11"/>
    <x v="0"/>
    <n v="30"/>
    <x v="2"/>
    <x v="0"/>
    <n v="182"/>
    <n v="0.91"/>
    <n v="1"/>
  </r>
  <r>
    <n v="1570"/>
    <d v="2023-06-15T00:00:00"/>
    <d v="1899-12-30T22:32:00"/>
    <n v="109"/>
    <x v="0"/>
    <x v="28"/>
    <x v="0"/>
    <n v="1"/>
    <n v="500"/>
    <n v="170"/>
    <n v="500"/>
    <x v="1"/>
    <n v="6"/>
    <x v="11"/>
    <n v="15"/>
    <x v="2"/>
    <x v="3"/>
    <n v="330"/>
    <n v="0.66"/>
    <n v="1"/>
  </r>
  <r>
    <n v="1630"/>
    <d v="2022-05-22T00:00:00"/>
    <d v="1899-12-30T17:22:00"/>
    <n v="95"/>
    <x v="0"/>
    <x v="25"/>
    <x v="0"/>
    <n v="2"/>
    <n v="50"/>
    <n v="16"/>
    <n v="100"/>
    <x v="0"/>
    <n v="5"/>
    <x v="7"/>
    <n v="22"/>
    <x v="5"/>
    <x v="3"/>
    <n v="84"/>
    <n v="0.84"/>
    <n v="0"/>
  </r>
  <r>
    <n v="1957"/>
    <d v="2022-10-25T00:00:00"/>
    <d v="1899-12-30T19:00:00"/>
    <n v="75"/>
    <x v="1"/>
    <x v="13"/>
    <x v="2"/>
    <n v="4"/>
    <n v="30"/>
    <n v="14.7"/>
    <n v="120"/>
    <x v="0"/>
    <n v="10"/>
    <x v="5"/>
    <n v="25"/>
    <x v="6"/>
    <x v="0"/>
    <n v="105.3"/>
    <n v="0.87749999999999995"/>
    <n v="0"/>
  </r>
  <r>
    <n v="635"/>
    <d v="2022-12-04T00:00:00"/>
    <d v="1899-12-30T21:03:00"/>
    <n v="89"/>
    <x v="1"/>
    <x v="15"/>
    <x v="2"/>
    <n v="3"/>
    <n v="300"/>
    <n v="129"/>
    <n v="900"/>
    <x v="0"/>
    <n v="12"/>
    <x v="2"/>
    <n v="4"/>
    <x v="5"/>
    <x v="0"/>
    <n v="771"/>
    <n v="0.85666666700000005"/>
    <n v="1"/>
  </r>
  <r>
    <n v="1635"/>
    <d v="2023-04-17T00:00:00"/>
    <d v="1899-12-30T18:08:00"/>
    <n v="36"/>
    <x v="1"/>
    <x v="15"/>
    <x v="2"/>
    <n v="3"/>
    <n v="300"/>
    <n v="159"/>
    <n v="900"/>
    <x v="1"/>
    <n v="4"/>
    <x v="6"/>
    <n v="17"/>
    <x v="1"/>
    <x v="3"/>
    <n v="741"/>
    <n v="0.823333333"/>
    <n v="1"/>
  </r>
  <r>
    <n v="29"/>
    <d v="2022-03-08T00:00:00"/>
    <d v="1899-12-30T20:10:00"/>
    <n v="31"/>
    <x v="1"/>
    <x v="25"/>
    <x v="2"/>
    <n v="1"/>
    <n v="30"/>
    <n v="13.5"/>
    <n v="30"/>
    <x v="0"/>
    <n v="3"/>
    <x v="8"/>
    <n v="8"/>
    <x v="6"/>
    <x v="2"/>
    <n v="16.5"/>
    <n v="0.55000000000000004"/>
    <n v="0"/>
  </r>
  <r>
    <n v="277"/>
    <d v="2023-07-03T00:00:00"/>
    <d v="1899-12-30T22:10:00"/>
    <n v="139"/>
    <x v="0"/>
    <x v="31"/>
    <x v="0"/>
    <n v="4"/>
    <n v="25"/>
    <n v="12.25"/>
    <n v="100"/>
    <x v="1"/>
    <n v="7"/>
    <x v="1"/>
    <n v="3"/>
    <x v="1"/>
    <x v="1"/>
    <n v="87.75"/>
    <n v="0.87749999999999995"/>
    <n v="0"/>
  </r>
  <r>
    <n v="859"/>
    <d v="2022-09-20T00:00:00"/>
    <d v="1899-12-30T21:52:00"/>
    <n v="46"/>
    <x v="1"/>
    <x v="34"/>
    <x v="2"/>
    <n v="3"/>
    <n v="500"/>
    <n v="190"/>
    <n v="1500"/>
    <x v="0"/>
    <n v="9"/>
    <x v="9"/>
    <n v="20"/>
    <x v="6"/>
    <x v="1"/>
    <n v="1310"/>
    <n v="0.87333333300000004"/>
    <n v="1"/>
  </r>
  <r>
    <n v="1029"/>
    <d v="2023-07-18T00:00:00"/>
    <d v="1899-12-30T19:23:00"/>
    <n v="117"/>
    <x v="1"/>
    <x v="25"/>
    <x v="2"/>
    <n v="1"/>
    <n v="30"/>
    <n v="12.3"/>
    <n v="30"/>
    <x v="1"/>
    <n v="7"/>
    <x v="1"/>
    <n v="18"/>
    <x v="6"/>
    <x v="1"/>
    <n v="17.7"/>
    <n v="0.59"/>
    <n v="0"/>
  </r>
  <r>
    <n v="1277"/>
    <d v="2023-10-17T00:00:00"/>
    <d v="1899-12-30T21:20:00"/>
    <n v="80"/>
    <x v="0"/>
    <x v="31"/>
    <x v="0"/>
    <n v="4"/>
    <n v="25"/>
    <n v="12.75"/>
    <n v="100"/>
    <x v="1"/>
    <n v="10"/>
    <x v="5"/>
    <n v="17"/>
    <x v="6"/>
    <x v="0"/>
    <n v="87.25"/>
    <n v="0.87250000000000005"/>
    <n v="0"/>
  </r>
  <r>
    <n v="1859"/>
    <d v="2022-09-14T00:00:00"/>
    <d v="1899-12-30T20:58:00"/>
    <n v="32"/>
    <x v="1"/>
    <x v="34"/>
    <x v="2"/>
    <n v="3"/>
    <n v="500"/>
    <n v="205"/>
    <n v="1500"/>
    <x v="0"/>
    <n v="9"/>
    <x v="9"/>
    <n v="14"/>
    <x v="4"/>
    <x v="1"/>
    <n v="1295"/>
    <n v="0.86333333300000004"/>
    <n v="1"/>
  </r>
  <r>
    <n v="638"/>
    <d v="2023-01-10T00:00:00"/>
    <d v="1899-12-30T19:52:00"/>
    <n v="154"/>
    <x v="0"/>
    <x v="1"/>
    <x v="2"/>
    <n v="1"/>
    <n v="500"/>
    <n v="190"/>
    <n v="500"/>
    <x v="1"/>
    <n v="1"/>
    <x v="3"/>
    <n v="10"/>
    <x v="6"/>
    <x v="2"/>
    <n v="310"/>
    <n v="0.62"/>
    <n v="1"/>
  </r>
  <r>
    <n v="823"/>
    <d v="2023-12-03T00:00:00"/>
    <d v="1899-12-30T17:42:00"/>
    <n v="66"/>
    <x v="1"/>
    <x v="34"/>
    <x v="2"/>
    <n v="2"/>
    <n v="50"/>
    <n v="25"/>
    <n v="100"/>
    <x v="1"/>
    <n v="12"/>
    <x v="2"/>
    <n v="3"/>
    <x v="5"/>
    <x v="0"/>
    <n v="75"/>
    <n v="0.75"/>
    <n v="0"/>
  </r>
  <r>
    <n v="956"/>
    <d v="2023-04-24T00:00:00"/>
    <d v="1899-12-30T21:50:00"/>
    <n v="140"/>
    <x v="0"/>
    <x v="7"/>
    <x v="0"/>
    <n v="3"/>
    <n v="500"/>
    <n v="135"/>
    <n v="1500"/>
    <x v="1"/>
    <n v="4"/>
    <x v="6"/>
    <n v="24"/>
    <x v="1"/>
    <x v="3"/>
    <n v="1365"/>
    <n v="0.91"/>
    <n v="1"/>
  </r>
  <r>
    <n v="981"/>
    <d v="2022-02-05T00:00:00"/>
    <d v="1899-12-30T21:08:00"/>
    <n v="5"/>
    <x v="1"/>
    <x v="7"/>
    <x v="2"/>
    <n v="2"/>
    <n v="30"/>
    <n v="12.9"/>
    <n v="60"/>
    <x v="0"/>
    <n v="2"/>
    <x v="10"/>
    <n v="5"/>
    <x v="0"/>
    <x v="2"/>
    <n v="47.1"/>
    <n v="0.78500000000000003"/>
    <n v="0"/>
  </r>
  <r>
    <n v="1638"/>
    <d v="2022-08-13T00:00:00"/>
    <d v="1899-12-30T18:26:00"/>
    <n v="37"/>
    <x v="0"/>
    <x v="1"/>
    <x v="2"/>
    <n v="1"/>
    <n v="500"/>
    <n v="155"/>
    <n v="500"/>
    <x v="0"/>
    <n v="8"/>
    <x v="4"/>
    <n v="13"/>
    <x v="0"/>
    <x v="1"/>
    <n v="345"/>
    <n v="0.69"/>
    <n v="1"/>
  </r>
  <r>
    <n v="1823"/>
    <d v="2022-11-08T00:00:00"/>
    <d v="1899-12-30T22:28:00"/>
    <n v="58"/>
    <x v="1"/>
    <x v="34"/>
    <x v="2"/>
    <n v="2"/>
    <n v="50"/>
    <n v="26.5"/>
    <n v="100"/>
    <x v="0"/>
    <n v="11"/>
    <x v="0"/>
    <n v="8"/>
    <x v="6"/>
    <x v="0"/>
    <n v="73.5"/>
    <n v="0.73499999999999999"/>
    <n v="0"/>
  </r>
  <r>
    <n v="1956"/>
    <d v="2023-06-01T00:00:00"/>
    <d v="1899-12-30T20:40:00"/>
    <n v="62"/>
    <x v="0"/>
    <x v="7"/>
    <x v="0"/>
    <n v="3"/>
    <n v="500"/>
    <n v="170"/>
    <n v="1500"/>
    <x v="1"/>
    <n v="6"/>
    <x v="11"/>
    <n v="1"/>
    <x v="2"/>
    <x v="3"/>
    <n v="1330"/>
    <n v="0.88666666699999996"/>
    <n v="1"/>
  </r>
  <r>
    <n v="1981"/>
    <d v="2022-06-05T00:00:00"/>
    <d v="1899-12-30T22:50:00"/>
    <n v="19"/>
    <x v="1"/>
    <x v="7"/>
    <x v="2"/>
    <n v="2"/>
    <n v="30"/>
    <n v="11.7"/>
    <n v="60"/>
    <x v="0"/>
    <n v="6"/>
    <x v="11"/>
    <n v="5"/>
    <x v="5"/>
    <x v="3"/>
    <n v="48.3"/>
    <n v="0.80500000000000005"/>
    <n v="0"/>
  </r>
  <r>
    <n v="219"/>
    <d v="2023-09-16T00:00:00"/>
    <d v="1899-12-30T22:34:00"/>
    <n v="79"/>
    <x v="1"/>
    <x v="21"/>
    <x v="2"/>
    <n v="3"/>
    <n v="30"/>
    <n v="10.199999999999999"/>
    <n v="90"/>
    <x v="1"/>
    <n v="9"/>
    <x v="9"/>
    <n v="16"/>
    <x v="0"/>
    <x v="1"/>
    <n v="79.8"/>
    <n v="0.88666666699999996"/>
    <n v="0"/>
  </r>
  <r>
    <n v="1219"/>
    <d v="2022-11-02T00:00:00"/>
    <d v="1899-12-30T21:47:00"/>
    <n v="149"/>
    <x v="1"/>
    <x v="21"/>
    <x v="2"/>
    <n v="3"/>
    <n v="30"/>
    <n v="11.1"/>
    <n v="90"/>
    <x v="0"/>
    <n v="11"/>
    <x v="0"/>
    <n v="2"/>
    <x v="4"/>
    <x v="0"/>
    <n v="78.900000000000006"/>
    <n v="0.87666666699999996"/>
    <n v="0"/>
  </r>
  <r>
    <n v="73"/>
    <d v="2022-01-14T00:00:00"/>
    <d v="1899-12-30T21:47:00"/>
    <n v="42"/>
    <x v="0"/>
    <x v="33"/>
    <x v="2"/>
    <n v="3"/>
    <n v="30"/>
    <n v="9"/>
    <n v="90"/>
    <x v="0"/>
    <n v="1"/>
    <x v="3"/>
    <n v="14"/>
    <x v="3"/>
    <x v="2"/>
    <n v="81"/>
    <n v="0.9"/>
    <n v="0"/>
  </r>
  <r>
    <n v="162"/>
    <d v="2023-04-11T00:00:00"/>
    <d v="1899-12-30T19:37:00"/>
    <n v="118"/>
    <x v="0"/>
    <x v="27"/>
    <x v="0"/>
    <n v="2"/>
    <n v="30"/>
    <n v="9"/>
    <n v="60"/>
    <x v="1"/>
    <n v="4"/>
    <x v="6"/>
    <n v="11"/>
    <x v="6"/>
    <x v="3"/>
    <n v="51"/>
    <n v="0.85"/>
    <n v="0"/>
  </r>
  <r>
    <n v="306"/>
    <d v="2022-01-04T00:00:00"/>
    <d v="1899-12-30T22:05:00"/>
    <n v="148"/>
    <x v="0"/>
    <x v="29"/>
    <x v="2"/>
    <n v="1"/>
    <n v="50"/>
    <n v="26.5"/>
    <n v="50"/>
    <x v="0"/>
    <n v="1"/>
    <x v="3"/>
    <n v="4"/>
    <x v="6"/>
    <x v="2"/>
    <n v="23.5"/>
    <n v="0.47"/>
    <n v="0"/>
  </r>
  <r>
    <n v="725"/>
    <d v="2023-09-21T00:00:00"/>
    <d v="1899-12-30T20:32:00"/>
    <n v="2"/>
    <x v="0"/>
    <x v="45"/>
    <x v="2"/>
    <n v="1"/>
    <n v="300"/>
    <n v="153"/>
    <n v="300"/>
    <x v="1"/>
    <n v="9"/>
    <x v="9"/>
    <n v="21"/>
    <x v="2"/>
    <x v="1"/>
    <n v="147"/>
    <n v="0.49"/>
    <n v="1"/>
  </r>
  <r>
    <n v="880"/>
    <d v="2023-09-26T00:00:00"/>
    <d v="1899-12-30T20:13:00"/>
    <n v="63"/>
    <x v="0"/>
    <x v="30"/>
    <x v="1"/>
    <n v="2"/>
    <n v="500"/>
    <n v="175"/>
    <n v="1000"/>
    <x v="1"/>
    <n v="9"/>
    <x v="9"/>
    <n v="26"/>
    <x v="6"/>
    <x v="1"/>
    <n v="825"/>
    <n v="0.82499999999999996"/>
    <n v="1"/>
  </r>
  <r>
    <n v="992"/>
    <d v="2023-10-15T00:00:00"/>
    <d v="1899-12-30T19:34:00"/>
    <n v="134"/>
    <x v="1"/>
    <x v="10"/>
    <x v="2"/>
    <n v="2"/>
    <n v="30"/>
    <n v="7.8"/>
    <n v="60"/>
    <x v="1"/>
    <n v="10"/>
    <x v="5"/>
    <n v="15"/>
    <x v="5"/>
    <x v="0"/>
    <n v="52.2"/>
    <n v="0.87"/>
    <n v="0"/>
  </r>
  <r>
    <n v="1073"/>
    <d v="2022-02-21T00:00:00"/>
    <d v="1899-12-30T18:16:00"/>
    <n v="82"/>
    <x v="0"/>
    <x v="33"/>
    <x v="2"/>
    <n v="3"/>
    <n v="30"/>
    <n v="15.3"/>
    <n v="90"/>
    <x v="0"/>
    <n v="2"/>
    <x v="10"/>
    <n v="21"/>
    <x v="1"/>
    <x v="2"/>
    <n v="74.7"/>
    <n v="0.83"/>
    <n v="0"/>
  </r>
  <r>
    <n v="1162"/>
    <d v="2022-07-13T00:00:00"/>
    <d v="1899-12-30T17:08:00"/>
    <n v="101"/>
    <x v="0"/>
    <x v="27"/>
    <x v="0"/>
    <n v="2"/>
    <n v="30"/>
    <n v="12.6"/>
    <n v="60"/>
    <x v="0"/>
    <n v="7"/>
    <x v="1"/>
    <n v="13"/>
    <x v="4"/>
    <x v="1"/>
    <n v="47.4"/>
    <n v="0.79"/>
    <n v="0"/>
  </r>
  <r>
    <n v="1306"/>
    <d v="2023-11-11T00:00:00"/>
    <d v="1899-12-30T20:57:00"/>
    <n v="122"/>
    <x v="0"/>
    <x v="29"/>
    <x v="2"/>
    <n v="1"/>
    <n v="50"/>
    <n v="18.5"/>
    <n v="50"/>
    <x v="1"/>
    <n v="11"/>
    <x v="0"/>
    <n v="11"/>
    <x v="0"/>
    <x v="0"/>
    <n v="31.5"/>
    <n v="0.63"/>
    <n v="0"/>
  </r>
  <r>
    <n v="1725"/>
    <d v="2022-05-16T00:00:00"/>
    <d v="1899-12-30T21:02:00"/>
    <n v="109"/>
    <x v="0"/>
    <x v="45"/>
    <x v="2"/>
    <n v="1"/>
    <n v="300"/>
    <n v="105"/>
    <n v="300"/>
    <x v="0"/>
    <n v="5"/>
    <x v="7"/>
    <n v="16"/>
    <x v="1"/>
    <x v="3"/>
    <n v="195"/>
    <n v="0.65"/>
    <n v="1"/>
  </r>
  <r>
    <n v="1880"/>
    <d v="2023-06-14T00:00:00"/>
    <d v="1899-12-30T20:03:00"/>
    <n v="37"/>
    <x v="0"/>
    <x v="30"/>
    <x v="1"/>
    <n v="2"/>
    <n v="500"/>
    <n v="175"/>
    <n v="1000"/>
    <x v="1"/>
    <n v="6"/>
    <x v="11"/>
    <n v="14"/>
    <x v="4"/>
    <x v="3"/>
    <n v="825"/>
    <n v="0.82499999999999996"/>
    <n v="1"/>
  </r>
  <r>
    <n v="1992"/>
    <d v="2023-05-19T00:00:00"/>
    <d v="1899-12-30T21:35:00"/>
    <n v="70"/>
    <x v="1"/>
    <x v="10"/>
    <x v="2"/>
    <n v="2"/>
    <n v="30"/>
    <n v="8.6999999999999993"/>
    <n v="60"/>
    <x v="1"/>
    <n v="5"/>
    <x v="7"/>
    <n v="19"/>
    <x v="3"/>
    <x v="3"/>
    <n v="51.3"/>
    <n v="0.85499999999999998"/>
    <n v="0"/>
  </r>
  <r>
    <n v="597"/>
    <d v="2022-11-01T00:00:00"/>
    <d v="1899-12-30T19:29:00"/>
    <n v="84"/>
    <x v="0"/>
    <x v="30"/>
    <x v="1"/>
    <n v="4"/>
    <n v="300"/>
    <n v="111"/>
    <n v="1200"/>
    <x v="0"/>
    <n v="11"/>
    <x v="0"/>
    <n v="1"/>
    <x v="6"/>
    <x v="0"/>
    <n v="1089"/>
    <n v="0.90749999999999997"/>
    <n v="1"/>
  </r>
  <r>
    <n v="622"/>
    <d v="2022-10-16T00:00:00"/>
    <d v="1899-12-30T22:00:00"/>
    <n v="155"/>
    <x v="1"/>
    <x v="28"/>
    <x v="1"/>
    <n v="3"/>
    <n v="25"/>
    <n v="6.25"/>
    <n v="75"/>
    <x v="0"/>
    <n v="10"/>
    <x v="5"/>
    <n v="16"/>
    <x v="5"/>
    <x v="0"/>
    <n v="68.75"/>
    <n v="0.91666666699999999"/>
    <n v="0"/>
  </r>
  <r>
    <n v="1597"/>
    <d v="2023-08-28T00:00:00"/>
    <d v="1899-12-30T18:21:00"/>
    <n v="32"/>
    <x v="0"/>
    <x v="30"/>
    <x v="1"/>
    <n v="4"/>
    <n v="300"/>
    <n v="78"/>
    <n v="1200"/>
    <x v="1"/>
    <n v="8"/>
    <x v="4"/>
    <n v="28"/>
    <x v="1"/>
    <x v="1"/>
    <n v="1122"/>
    <n v="0.93500000000000005"/>
    <n v="1"/>
  </r>
  <r>
    <n v="1622"/>
    <d v="2023-04-22T00:00:00"/>
    <d v="1899-12-30T21:28:00"/>
    <n v="54"/>
    <x v="1"/>
    <x v="28"/>
    <x v="1"/>
    <n v="3"/>
    <n v="25"/>
    <n v="11.75"/>
    <n v="75"/>
    <x v="1"/>
    <n v="4"/>
    <x v="6"/>
    <n v="22"/>
    <x v="0"/>
    <x v="3"/>
    <n v="63.25"/>
    <n v="0.84333333300000002"/>
    <n v="0"/>
  </r>
  <r>
    <n v="116"/>
    <d v="2023-06-22T00:00:00"/>
    <d v="1899-12-30T20:04:00"/>
    <n v="58"/>
    <x v="1"/>
    <x v="8"/>
    <x v="0"/>
    <n v="1"/>
    <n v="30"/>
    <n v="15"/>
    <n v="30"/>
    <x v="1"/>
    <n v="6"/>
    <x v="11"/>
    <n v="22"/>
    <x v="2"/>
    <x v="3"/>
    <n v="15"/>
    <n v="0.5"/>
    <n v="0"/>
  </r>
  <r>
    <n v="364"/>
    <d v="2022-06-07T00:00:00"/>
    <d v="1899-12-30T19:06:00"/>
    <n v="98"/>
    <x v="1"/>
    <x v="4"/>
    <x v="1"/>
    <n v="1"/>
    <n v="500"/>
    <n v="200"/>
    <n v="500"/>
    <x v="0"/>
    <n v="6"/>
    <x v="11"/>
    <n v="7"/>
    <x v="6"/>
    <x v="3"/>
    <n v="300"/>
    <n v="0.6"/>
    <n v="1"/>
  </r>
  <r>
    <n v="368"/>
    <d v="2023-01-31T00:00:00"/>
    <d v="1899-12-30T21:11:00"/>
    <n v="90"/>
    <x v="1"/>
    <x v="34"/>
    <x v="0"/>
    <n v="4"/>
    <n v="300"/>
    <n v="132"/>
    <n v="1200"/>
    <x v="1"/>
    <n v="1"/>
    <x v="3"/>
    <n v="31"/>
    <x v="6"/>
    <x v="2"/>
    <n v="1068"/>
    <n v="0.89"/>
    <n v="1"/>
  </r>
  <r>
    <n v="1116"/>
    <d v="2022-08-15T00:00:00"/>
    <d v="1899-12-30T22:26:00"/>
    <n v="145"/>
    <x v="1"/>
    <x v="8"/>
    <x v="0"/>
    <n v="1"/>
    <n v="30"/>
    <n v="12.3"/>
    <n v="30"/>
    <x v="0"/>
    <n v="8"/>
    <x v="4"/>
    <n v="15"/>
    <x v="1"/>
    <x v="1"/>
    <n v="17.7"/>
    <n v="0.59"/>
    <n v="0"/>
  </r>
  <r>
    <n v="1364"/>
    <d v="2023-09-23T00:00:00"/>
    <d v="1899-12-30T17:04:00"/>
    <n v="72"/>
    <x v="1"/>
    <x v="4"/>
    <x v="1"/>
    <n v="1"/>
    <n v="500"/>
    <n v="250"/>
    <n v="500"/>
    <x v="1"/>
    <n v="9"/>
    <x v="9"/>
    <n v="23"/>
    <x v="0"/>
    <x v="1"/>
    <n v="250"/>
    <n v="0.5"/>
    <n v="1"/>
  </r>
  <r>
    <n v="1368"/>
    <d v="2022-03-08T00:00:00"/>
    <d v="1899-12-30T21:29:00"/>
    <n v="145"/>
    <x v="1"/>
    <x v="34"/>
    <x v="0"/>
    <n v="4"/>
    <n v="300"/>
    <n v="132"/>
    <n v="1200"/>
    <x v="0"/>
    <n v="3"/>
    <x v="8"/>
    <n v="8"/>
    <x v="6"/>
    <x v="2"/>
    <n v="1068"/>
    <n v="0.89"/>
    <n v="1"/>
  </r>
  <r>
    <n v="50"/>
    <d v="2022-03-29T00:00:00"/>
    <d v="1899-12-30T18:51:00"/>
    <n v="71"/>
    <x v="1"/>
    <x v="17"/>
    <x v="1"/>
    <n v="3"/>
    <n v="25"/>
    <n v="10.5"/>
    <n v="75"/>
    <x v="0"/>
    <n v="3"/>
    <x v="8"/>
    <n v="29"/>
    <x v="6"/>
    <x v="2"/>
    <n v="64.5"/>
    <n v="0.86"/>
    <n v="0"/>
  </r>
  <r>
    <n v="479"/>
    <d v="2022-11-03T00:00:00"/>
    <d v="1899-12-30T21:35:00"/>
    <n v="90"/>
    <x v="0"/>
    <x v="41"/>
    <x v="2"/>
    <n v="4"/>
    <n v="300"/>
    <n v="105"/>
    <n v="1200"/>
    <x v="0"/>
    <n v="11"/>
    <x v="0"/>
    <n v="3"/>
    <x v="2"/>
    <x v="0"/>
    <n v="1095"/>
    <n v="0.91249999999999998"/>
    <n v="1"/>
  </r>
  <r>
    <n v="804"/>
    <d v="2023-12-11T00:00:00"/>
    <d v="1899-12-30T17:12:00"/>
    <n v="99"/>
    <x v="0"/>
    <x v="25"/>
    <x v="2"/>
    <n v="1"/>
    <n v="30"/>
    <n v="10.8"/>
    <n v="30"/>
    <x v="1"/>
    <n v="12"/>
    <x v="2"/>
    <n v="11"/>
    <x v="1"/>
    <x v="0"/>
    <n v="19.2"/>
    <n v="0.64"/>
    <n v="0"/>
  </r>
  <r>
    <n v="1050"/>
    <d v="2022-12-10T00:00:00"/>
    <d v="1899-12-30T20:15:00"/>
    <n v="24"/>
    <x v="1"/>
    <x v="17"/>
    <x v="1"/>
    <n v="3"/>
    <n v="25"/>
    <n v="11.25"/>
    <n v="75"/>
    <x v="0"/>
    <n v="12"/>
    <x v="2"/>
    <n v="10"/>
    <x v="0"/>
    <x v="0"/>
    <n v="63.75"/>
    <n v="0.85"/>
    <n v="0"/>
  </r>
  <r>
    <n v="1479"/>
    <d v="2022-05-31T00:00:00"/>
    <d v="1899-12-30T22:24:00"/>
    <n v="108"/>
    <x v="0"/>
    <x v="41"/>
    <x v="2"/>
    <n v="4"/>
    <n v="300"/>
    <n v="162"/>
    <n v="1200"/>
    <x v="0"/>
    <n v="5"/>
    <x v="7"/>
    <n v="31"/>
    <x v="6"/>
    <x v="3"/>
    <n v="1038"/>
    <n v="0.86499999999999999"/>
    <n v="1"/>
  </r>
  <r>
    <n v="1804"/>
    <d v="2023-01-10T00:00:00"/>
    <d v="1899-12-30T22:46:00"/>
    <n v="74"/>
    <x v="0"/>
    <x v="25"/>
    <x v="2"/>
    <n v="1"/>
    <n v="30"/>
    <n v="14.7"/>
    <n v="30"/>
    <x v="1"/>
    <n v="1"/>
    <x v="3"/>
    <n v="10"/>
    <x v="6"/>
    <x v="2"/>
    <n v="15.3"/>
    <n v="0.51"/>
    <n v="0"/>
  </r>
  <r>
    <n v="92"/>
    <d v="2022-03-21T00:00:00"/>
    <d v="1899-12-30T19:41:00"/>
    <n v="10"/>
    <x v="1"/>
    <x v="12"/>
    <x v="2"/>
    <n v="4"/>
    <n v="30"/>
    <n v="8.6999999999999993"/>
    <n v="120"/>
    <x v="0"/>
    <n v="3"/>
    <x v="8"/>
    <n v="21"/>
    <x v="1"/>
    <x v="2"/>
    <n v="111.3"/>
    <n v="0.92749999999999999"/>
    <n v="0"/>
  </r>
  <r>
    <n v="282"/>
    <d v="2023-10-05T00:00:00"/>
    <d v="1899-12-30T17:39:00"/>
    <n v="10"/>
    <x v="1"/>
    <x v="3"/>
    <x v="2"/>
    <n v="4"/>
    <n v="50"/>
    <n v="56"/>
    <n v="200"/>
    <x v="1"/>
    <n v="10"/>
    <x v="5"/>
    <n v="5"/>
    <x v="2"/>
    <x v="0"/>
    <n v="144"/>
    <n v="0.72"/>
    <n v="1"/>
  </r>
  <r>
    <n v="718"/>
    <d v="2023-11-02T00:00:00"/>
    <d v="1899-12-30T20:25:00"/>
    <n v="154"/>
    <x v="1"/>
    <x v="26"/>
    <x v="1"/>
    <n v="3"/>
    <n v="25"/>
    <n v="25"/>
    <n v="75"/>
    <x v="1"/>
    <n v="11"/>
    <x v="0"/>
    <n v="2"/>
    <x v="2"/>
    <x v="0"/>
    <n v="50"/>
    <n v="0.66666666699999999"/>
    <n v="0"/>
  </r>
  <r>
    <n v="1092"/>
    <d v="2022-05-03T00:00:00"/>
    <d v="1899-12-30T20:15:00"/>
    <n v="58"/>
    <x v="1"/>
    <x v="12"/>
    <x v="2"/>
    <n v="4"/>
    <n v="30"/>
    <n v="31.5"/>
    <n v="120"/>
    <x v="0"/>
    <n v="5"/>
    <x v="7"/>
    <n v="3"/>
    <x v="6"/>
    <x v="3"/>
    <n v="88.5"/>
    <n v="0.73750000000000004"/>
    <n v="0"/>
  </r>
  <r>
    <n v="1282"/>
    <d v="2023-02-20T00:00:00"/>
    <d v="1899-12-30T20:05:00"/>
    <n v="23"/>
    <x v="1"/>
    <x v="3"/>
    <x v="2"/>
    <n v="4"/>
    <n v="50"/>
    <n v="48.5"/>
    <n v="200"/>
    <x v="1"/>
    <n v="2"/>
    <x v="10"/>
    <n v="20"/>
    <x v="1"/>
    <x v="2"/>
    <n v="151.5"/>
    <n v="0.75749999999999995"/>
    <n v="1"/>
  </r>
  <r>
    <n v="1718"/>
    <d v="2023-10-25T00:00:00"/>
    <d v="1899-12-30T19:03:00"/>
    <n v="20"/>
    <x v="1"/>
    <x v="26"/>
    <x v="1"/>
    <n v="3"/>
    <n v="25"/>
    <n v="25.5"/>
    <n v="75"/>
    <x v="1"/>
    <n v="10"/>
    <x v="5"/>
    <n v="25"/>
    <x v="4"/>
    <x v="0"/>
    <n v="49.5"/>
    <n v="0.66"/>
    <n v="0"/>
  </r>
  <r>
    <n v="617"/>
    <d v="2022-08-06T00:00:00"/>
    <d v="1899-12-30T19:12:00"/>
    <n v="30"/>
    <x v="0"/>
    <x v="23"/>
    <x v="2"/>
    <n v="1"/>
    <n v="30"/>
    <n v="28.5"/>
    <n v="30"/>
    <x v="0"/>
    <n v="8"/>
    <x v="4"/>
    <n v="6"/>
    <x v="0"/>
    <x v="1"/>
    <n v="1.5"/>
    <n v="0.05"/>
    <n v="0"/>
  </r>
  <r>
    <n v="624"/>
    <d v="2022-02-05T00:00:00"/>
    <d v="1899-12-30T19:08:00"/>
    <n v="48"/>
    <x v="1"/>
    <x v="23"/>
    <x v="1"/>
    <n v="3"/>
    <n v="300"/>
    <n v="342"/>
    <n v="900"/>
    <x v="0"/>
    <n v="2"/>
    <x v="10"/>
    <n v="5"/>
    <x v="0"/>
    <x v="2"/>
    <n v="558"/>
    <n v="0.62"/>
    <n v="1"/>
  </r>
  <r>
    <n v="825"/>
    <d v="2022-01-08T00:00:00"/>
    <d v="1899-12-30T17:27:00"/>
    <n v="51"/>
    <x v="1"/>
    <x v="1"/>
    <x v="1"/>
    <n v="1"/>
    <n v="25"/>
    <n v="27.25"/>
    <n v="25"/>
    <x v="0"/>
    <n v="1"/>
    <x v="3"/>
    <n v="8"/>
    <x v="0"/>
    <x v="2"/>
    <n v="-2.25"/>
    <n v="-0.09"/>
    <n v="0"/>
  </r>
  <r>
    <n v="1617"/>
    <d v="2022-05-01T00:00:00"/>
    <d v="1899-12-30T17:09:00"/>
    <n v="77"/>
    <x v="0"/>
    <x v="23"/>
    <x v="2"/>
    <n v="1"/>
    <n v="30"/>
    <n v="35.1"/>
    <n v="30"/>
    <x v="0"/>
    <n v="5"/>
    <x v="7"/>
    <n v="1"/>
    <x v="5"/>
    <x v="3"/>
    <n v="-5.0999999999999996"/>
    <n v="-0.17"/>
    <n v="0"/>
  </r>
  <r>
    <n v="1624"/>
    <d v="2022-11-18T00:00:00"/>
    <d v="1899-12-30T20:48:00"/>
    <n v="121"/>
    <x v="1"/>
    <x v="23"/>
    <x v="1"/>
    <n v="3"/>
    <n v="300"/>
    <n v="363"/>
    <n v="900"/>
    <x v="0"/>
    <n v="11"/>
    <x v="0"/>
    <n v="18"/>
    <x v="3"/>
    <x v="0"/>
    <n v="537"/>
    <n v="0.59666666700000004"/>
    <n v="1"/>
  </r>
  <r>
    <n v="1825"/>
    <d v="2023-08-30T00:00:00"/>
    <d v="1899-12-30T18:34:00"/>
    <n v="105"/>
    <x v="1"/>
    <x v="1"/>
    <x v="1"/>
    <n v="1"/>
    <n v="25"/>
    <n v="27"/>
    <n v="25"/>
    <x v="1"/>
    <n v="8"/>
    <x v="4"/>
    <n v="30"/>
    <x v="4"/>
    <x v="1"/>
    <n v="-2"/>
    <n v="-0.08"/>
    <n v="0"/>
  </r>
  <r>
    <n v="568"/>
    <d v="2023-08-11T00:00:00"/>
    <d v="1899-12-30T20:03:00"/>
    <n v="32"/>
    <x v="1"/>
    <x v="12"/>
    <x v="2"/>
    <n v="1"/>
    <n v="300"/>
    <n v="372"/>
    <n v="300"/>
    <x v="1"/>
    <n v="8"/>
    <x v="4"/>
    <n v="11"/>
    <x v="3"/>
    <x v="1"/>
    <n v="-72"/>
    <n v="-0.24"/>
    <n v="1"/>
  </r>
  <r>
    <n v="671"/>
    <d v="2023-09-23T00:00:00"/>
    <d v="1899-12-30T19:51:00"/>
    <n v="2"/>
    <x v="0"/>
    <x v="44"/>
    <x v="2"/>
    <n v="3"/>
    <n v="50"/>
    <n v="61.5"/>
    <n v="150"/>
    <x v="1"/>
    <n v="9"/>
    <x v="9"/>
    <n v="23"/>
    <x v="0"/>
    <x v="1"/>
    <n v="88.5"/>
    <n v="0.59"/>
    <n v="1"/>
  </r>
  <r>
    <n v="756"/>
    <d v="2023-07-17T00:00:00"/>
    <d v="1899-12-30T20:33:00"/>
    <n v="4"/>
    <x v="1"/>
    <x v="44"/>
    <x v="2"/>
    <n v="4"/>
    <n v="300"/>
    <n v="333"/>
    <n v="1200"/>
    <x v="1"/>
    <n v="7"/>
    <x v="1"/>
    <n v="17"/>
    <x v="1"/>
    <x v="1"/>
    <n v="867"/>
    <n v="0.72250000000000003"/>
    <n v="1"/>
  </r>
  <r>
    <n v="815"/>
    <d v="2023-04-05T00:00:00"/>
    <d v="1899-12-30T21:15:00"/>
    <n v="139"/>
    <x v="1"/>
    <x v="12"/>
    <x v="0"/>
    <n v="3"/>
    <n v="25"/>
    <n v="23.75"/>
    <n v="75"/>
    <x v="1"/>
    <n v="4"/>
    <x v="6"/>
    <n v="5"/>
    <x v="4"/>
    <x v="3"/>
    <n v="51.25"/>
    <n v="0.68333333299999999"/>
    <n v="0"/>
  </r>
  <r>
    <n v="1568"/>
    <d v="2022-10-09T00:00:00"/>
    <d v="1899-12-30T22:34:00"/>
    <n v="51"/>
    <x v="1"/>
    <x v="12"/>
    <x v="2"/>
    <n v="1"/>
    <n v="300"/>
    <n v="336"/>
    <n v="300"/>
    <x v="0"/>
    <n v="10"/>
    <x v="5"/>
    <n v="9"/>
    <x v="5"/>
    <x v="0"/>
    <n v="-36"/>
    <n v="-0.12"/>
    <n v="1"/>
  </r>
  <r>
    <n v="1671"/>
    <d v="2023-02-28T00:00:00"/>
    <d v="1899-12-30T20:55:00"/>
    <n v="47"/>
    <x v="0"/>
    <x v="44"/>
    <x v="2"/>
    <n v="3"/>
    <n v="50"/>
    <n v="62.5"/>
    <n v="150"/>
    <x v="1"/>
    <n v="2"/>
    <x v="10"/>
    <n v="28"/>
    <x v="6"/>
    <x v="2"/>
    <n v="87.5"/>
    <n v="0.58333333300000001"/>
    <n v="1"/>
  </r>
  <r>
    <n v="1756"/>
    <d v="2022-05-12T00:00:00"/>
    <d v="1899-12-30T22:16:00"/>
    <n v="119"/>
    <x v="1"/>
    <x v="44"/>
    <x v="2"/>
    <n v="4"/>
    <n v="300"/>
    <n v="297"/>
    <n v="1200"/>
    <x v="0"/>
    <n v="5"/>
    <x v="7"/>
    <n v="12"/>
    <x v="2"/>
    <x v="3"/>
    <n v="903"/>
    <n v="0.75249999999999995"/>
    <n v="1"/>
  </r>
  <r>
    <n v="1815"/>
    <d v="2023-05-24T00:00:00"/>
    <d v="1899-12-30T22:19:00"/>
    <n v="6"/>
    <x v="1"/>
    <x v="12"/>
    <x v="0"/>
    <n v="3"/>
    <n v="25"/>
    <n v="30.5"/>
    <n v="75"/>
    <x v="1"/>
    <n v="5"/>
    <x v="7"/>
    <n v="24"/>
    <x v="4"/>
    <x v="3"/>
    <n v="44.5"/>
    <n v="0.59333333300000002"/>
    <n v="0"/>
  </r>
  <r>
    <n v="146"/>
    <d v="2022-11-10T00:00:00"/>
    <d v="1899-12-30T22:01:00"/>
    <n v="74"/>
    <x v="0"/>
    <x v="9"/>
    <x v="0"/>
    <n v="4"/>
    <n v="50"/>
    <n v="49"/>
    <n v="200"/>
    <x v="0"/>
    <n v="11"/>
    <x v="0"/>
    <n v="10"/>
    <x v="2"/>
    <x v="0"/>
    <n v="151"/>
    <n v="0.755"/>
    <n v="1"/>
  </r>
  <r>
    <n v="263"/>
    <d v="2022-05-04T00:00:00"/>
    <d v="1899-12-30T21:48:00"/>
    <n v="133"/>
    <x v="0"/>
    <x v="8"/>
    <x v="1"/>
    <n v="2"/>
    <n v="30"/>
    <n v="34.799999999999997"/>
    <n v="60"/>
    <x v="0"/>
    <n v="5"/>
    <x v="7"/>
    <n v="4"/>
    <x v="4"/>
    <x v="3"/>
    <n v="25.2"/>
    <n v="0.42"/>
    <n v="0"/>
  </r>
  <r>
    <n v="704"/>
    <d v="2023-09-11T00:00:00"/>
    <d v="1899-12-30T22:40:00"/>
    <n v="141"/>
    <x v="1"/>
    <x v="44"/>
    <x v="0"/>
    <n v="3"/>
    <n v="30"/>
    <n v="34.799999999999997"/>
    <n v="90"/>
    <x v="1"/>
    <n v="9"/>
    <x v="9"/>
    <n v="11"/>
    <x v="1"/>
    <x v="1"/>
    <n v="55.2"/>
    <n v="0.61333333300000004"/>
    <n v="0"/>
  </r>
  <r>
    <n v="1146"/>
    <d v="2023-10-09T00:00:00"/>
    <d v="1899-12-30T21:11:00"/>
    <n v="52"/>
    <x v="0"/>
    <x v="9"/>
    <x v="0"/>
    <n v="4"/>
    <n v="50"/>
    <n v="60"/>
    <n v="200"/>
    <x v="1"/>
    <n v="10"/>
    <x v="5"/>
    <n v="9"/>
    <x v="1"/>
    <x v="0"/>
    <n v="140"/>
    <n v="0.7"/>
    <n v="1"/>
  </r>
  <r>
    <n v="1263"/>
    <d v="2022-09-07T00:00:00"/>
    <d v="1899-12-30T20:49:00"/>
    <n v="47"/>
    <x v="0"/>
    <x v="8"/>
    <x v="1"/>
    <n v="2"/>
    <n v="30"/>
    <n v="35.4"/>
    <n v="60"/>
    <x v="0"/>
    <n v="9"/>
    <x v="9"/>
    <n v="7"/>
    <x v="4"/>
    <x v="1"/>
    <n v="24.6"/>
    <n v="0.41"/>
    <n v="0"/>
  </r>
  <r>
    <n v="1704"/>
    <d v="2022-09-16T00:00:00"/>
    <d v="1899-12-30T20:07:00"/>
    <n v="155"/>
    <x v="1"/>
    <x v="44"/>
    <x v="0"/>
    <n v="3"/>
    <n v="30"/>
    <n v="30.3"/>
    <n v="90"/>
    <x v="0"/>
    <n v="9"/>
    <x v="9"/>
    <n v="16"/>
    <x v="3"/>
    <x v="1"/>
    <n v="59.7"/>
    <n v="0.66333333299999997"/>
    <n v="0"/>
  </r>
  <r>
    <n v="476"/>
    <d v="2023-12-12T00:00:00"/>
    <d v="1899-12-30T18:31:00"/>
    <n v="131"/>
    <x v="1"/>
    <x v="17"/>
    <x v="0"/>
    <n v="4"/>
    <n v="500"/>
    <n v="570"/>
    <n v="2000"/>
    <x v="1"/>
    <n v="12"/>
    <x v="2"/>
    <n v="12"/>
    <x v="6"/>
    <x v="0"/>
    <n v="1430"/>
    <n v="0.71499999999999997"/>
    <n v="1"/>
  </r>
  <r>
    <n v="733"/>
    <d v="2022-10-25T00:00:00"/>
    <d v="1899-12-30T21:07:00"/>
    <n v="143"/>
    <x v="0"/>
    <x v="23"/>
    <x v="1"/>
    <n v="1"/>
    <n v="30"/>
    <n v="28.5"/>
    <n v="30"/>
    <x v="0"/>
    <n v="10"/>
    <x v="5"/>
    <n v="25"/>
    <x v="6"/>
    <x v="0"/>
    <n v="1.5"/>
    <n v="0.05"/>
    <n v="0"/>
  </r>
  <r>
    <n v="924"/>
    <d v="2022-09-17T00:00:00"/>
    <d v="1899-12-30T22:18:00"/>
    <n v="151"/>
    <x v="0"/>
    <x v="46"/>
    <x v="1"/>
    <n v="2"/>
    <n v="50"/>
    <n v="55"/>
    <n v="100"/>
    <x v="0"/>
    <n v="9"/>
    <x v="9"/>
    <n v="17"/>
    <x v="0"/>
    <x v="1"/>
    <n v="45"/>
    <n v="0.45"/>
    <n v="0"/>
  </r>
  <r>
    <n v="984"/>
    <d v="2023-11-20T00:00:00"/>
    <d v="1899-12-30T19:29:00"/>
    <n v="83"/>
    <x v="0"/>
    <x v="34"/>
    <x v="0"/>
    <n v="1"/>
    <n v="500"/>
    <n v="480"/>
    <n v="500"/>
    <x v="1"/>
    <n v="11"/>
    <x v="0"/>
    <n v="20"/>
    <x v="1"/>
    <x v="0"/>
    <n v="20"/>
    <n v="0.04"/>
    <n v="1"/>
  </r>
  <r>
    <n v="1476"/>
    <d v="2022-11-11T00:00:00"/>
    <d v="1899-12-30T22:27:00"/>
    <n v="130"/>
    <x v="1"/>
    <x v="17"/>
    <x v="0"/>
    <n v="4"/>
    <n v="500"/>
    <n v="555"/>
    <n v="2000"/>
    <x v="0"/>
    <n v="11"/>
    <x v="0"/>
    <n v="11"/>
    <x v="3"/>
    <x v="0"/>
    <n v="1445"/>
    <n v="0.72250000000000003"/>
    <n v="1"/>
  </r>
  <r>
    <n v="1733"/>
    <d v="2023-09-03T00:00:00"/>
    <d v="1899-12-30T20:52:00"/>
    <n v="146"/>
    <x v="0"/>
    <x v="23"/>
    <x v="1"/>
    <n v="1"/>
    <n v="30"/>
    <n v="36.6"/>
    <n v="30"/>
    <x v="1"/>
    <n v="9"/>
    <x v="9"/>
    <n v="3"/>
    <x v="5"/>
    <x v="1"/>
    <n v="-6.6"/>
    <n v="-0.22"/>
    <n v="0"/>
  </r>
  <r>
    <n v="1924"/>
    <d v="2022-11-28T00:00:00"/>
    <d v="1899-12-30T22:25:00"/>
    <n v="107"/>
    <x v="0"/>
    <x v="46"/>
    <x v="1"/>
    <n v="2"/>
    <n v="50"/>
    <n v="54.5"/>
    <n v="100"/>
    <x v="0"/>
    <n v="11"/>
    <x v="0"/>
    <n v="28"/>
    <x v="1"/>
    <x v="0"/>
    <n v="45.5"/>
    <n v="0.45500000000000002"/>
    <n v="0"/>
  </r>
  <r>
    <n v="1984"/>
    <d v="2023-09-09T00:00:00"/>
    <d v="1899-12-30T20:10:00"/>
    <n v="126"/>
    <x v="0"/>
    <x v="34"/>
    <x v="0"/>
    <n v="1"/>
    <n v="500"/>
    <n v="530"/>
    <n v="500"/>
    <x v="1"/>
    <n v="9"/>
    <x v="9"/>
    <n v="9"/>
    <x v="0"/>
    <x v="1"/>
    <n v="-30"/>
    <n v="-0.06"/>
    <n v="1"/>
  </r>
  <r>
    <n v="251"/>
    <d v="2022-09-15T00:00:00"/>
    <d v="1899-12-30T21:00:00"/>
    <n v="141"/>
    <x v="1"/>
    <x v="10"/>
    <x v="1"/>
    <n v="4"/>
    <n v="50"/>
    <n v="62.5"/>
    <n v="200"/>
    <x v="0"/>
    <n v="9"/>
    <x v="9"/>
    <n v="15"/>
    <x v="2"/>
    <x v="1"/>
    <n v="137.5"/>
    <n v="0.6875"/>
    <n v="1"/>
  </r>
  <r>
    <n v="253"/>
    <d v="2022-09-30T00:00:00"/>
    <d v="1899-12-30T21:26:00"/>
    <n v="66"/>
    <x v="1"/>
    <x v="21"/>
    <x v="0"/>
    <n v="4"/>
    <n v="500"/>
    <n v="525"/>
    <n v="2000"/>
    <x v="0"/>
    <n v="9"/>
    <x v="9"/>
    <n v="30"/>
    <x v="3"/>
    <x v="1"/>
    <n v="1475"/>
    <n v="0.73750000000000004"/>
    <n v="1"/>
  </r>
  <r>
    <n v="574"/>
    <d v="2023-09-17T00:00:00"/>
    <d v="1899-12-30T20:12:00"/>
    <n v="24"/>
    <x v="1"/>
    <x v="15"/>
    <x v="2"/>
    <n v="2"/>
    <n v="25"/>
    <n v="24.75"/>
    <n v="50"/>
    <x v="1"/>
    <n v="9"/>
    <x v="9"/>
    <n v="17"/>
    <x v="5"/>
    <x v="1"/>
    <n v="25.25"/>
    <n v="0.505"/>
    <n v="0"/>
  </r>
  <r>
    <n v="751"/>
    <d v="2023-11-08T00:00:00"/>
    <d v="1899-12-30T19:58:00"/>
    <n v="115"/>
    <x v="1"/>
    <x v="25"/>
    <x v="0"/>
    <n v="2"/>
    <n v="25"/>
    <n v="24.75"/>
    <n v="50"/>
    <x v="1"/>
    <n v="11"/>
    <x v="0"/>
    <n v="8"/>
    <x v="4"/>
    <x v="0"/>
    <n v="25.25"/>
    <n v="0.505"/>
    <n v="0"/>
  </r>
  <r>
    <n v="871"/>
    <d v="2023-11-02T00:00:00"/>
    <d v="1899-12-30T23:00:00"/>
    <n v="57"/>
    <x v="0"/>
    <x v="44"/>
    <x v="1"/>
    <n v="2"/>
    <n v="30"/>
    <n v="33.9"/>
    <n v="60"/>
    <x v="1"/>
    <n v="11"/>
    <x v="0"/>
    <n v="2"/>
    <x v="2"/>
    <x v="0"/>
    <n v="26.1"/>
    <n v="0.435"/>
    <n v="0"/>
  </r>
  <r>
    <n v="1251"/>
    <d v="2022-09-11T00:00:00"/>
    <d v="1899-12-30T21:08:00"/>
    <n v="137"/>
    <x v="1"/>
    <x v="10"/>
    <x v="1"/>
    <n v="4"/>
    <n v="50"/>
    <n v="57.5"/>
    <n v="200"/>
    <x v="0"/>
    <n v="9"/>
    <x v="9"/>
    <n v="11"/>
    <x v="5"/>
    <x v="1"/>
    <n v="142.5"/>
    <n v="0.71250000000000002"/>
    <n v="1"/>
  </r>
  <r>
    <n v="1253"/>
    <d v="2023-12-03T00:00:00"/>
    <d v="1899-12-30T19:58:00"/>
    <n v="108"/>
    <x v="1"/>
    <x v="21"/>
    <x v="0"/>
    <n v="4"/>
    <n v="500"/>
    <n v="605"/>
    <n v="2000"/>
    <x v="1"/>
    <n v="12"/>
    <x v="2"/>
    <n v="3"/>
    <x v="5"/>
    <x v="0"/>
    <n v="1395"/>
    <n v="0.69750000000000001"/>
    <n v="1"/>
  </r>
  <r>
    <n v="1574"/>
    <d v="2022-10-26T00:00:00"/>
    <d v="1899-12-30T21:51:00"/>
    <n v="150"/>
    <x v="1"/>
    <x v="15"/>
    <x v="2"/>
    <n v="2"/>
    <n v="25"/>
    <n v="24.75"/>
    <n v="50"/>
    <x v="0"/>
    <n v="10"/>
    <x v="5"/>
    <n v="26"/>
    <x v="4"/>
    <x v="0"/>
    <n v="25.25"/>
    <n v="0.505"/>
    <n v="0"/>
  </r>
  <r>
    <n v="1751"/>
    <d v="2023-12-27T00:00:00"/>
    <d v="1899-12-30T22:09:00"/>
    <n v="99"/>
    <x v="1"/>
    <x v="25"/>
    <x v="0"/>
    <n v="2"/>
    <n v="25"/>
    <n v="30.25"/>
    <n v="50"/>
    <x v="1"/>
    <n v="12"/>
    <x v="2"/>
    <n v="27"/>
    <x v="4"/>
    <x v="0"/>
    <n v="19.75"/>
    <n v="0.39500000000000002"/>
    <n v="0"/>
  </r>
  <r>
    <n v="1871"/>
    <d v="2022-09-26T00:00:00"/>
    <d v="1899-12-30T18:39:00"/>
    <n v="41"/>
    <x v="0"/>
    <x v="44"/>
    <x v="1"/>
    <n v="2"/>
    <n v="30"/>
    <n v="30.6"/>
    <n v="60"/>
    <x v="0"/>
    <n v="9"/>
    <x v="9"/>
    <n v="26"/>
    <x v="1"/>
    <x v="1"/>
    <n v="29.4"/>
    <n v="0.49"/>
    <n v="0"/>
  </r>
  <r>
    <n v="200"/>
    <d v="2022-10-09T00:00:00"/>
    <d v="1899-12-30T22:29:00"/>
    <n v="130"/>
    <x v="0"/>
    <x v="17"/>
    <x v="1"/>
    <n v="3"/>
    <n v="50"/>
    <n v="60"/>
    <n v="150"/>
    <x v="0"/>
    <n v="10"/>
    <x v="5"/>
    <n v="9"/>
    <x v="5"/>
    <x v="0"/>
    <n v="90"/>
    <n v="0.6"/>
    <n v="1"/>
  </r>
  <r>
    <n v="594"/>
    <d v="2023-09-07T00:00:00"/>
    <d v="1899-12-30T21:49:00"/>
    <n v="72"/>
    <x v="1"/>
    <x v="4"/>
    <x v="2"/>
    <n v="2"/>
    <n v="300"/>
    <n v="291"/>
    <n v="600"/>
    <x v="1"/>
    <n v="9"/>
    <x v="9"/>
    <n v="7"/>
    <x v="2"/>
    <x v="1"/>
    <n v="309"/>
    <n v="0.51500000000000001"/>
    <n v="1"/>
  </r>
  <r>
    <n v="637"/>
    <d v="2022-12-02T00:00:00"/>
    <d v="1899-12-30T18:54:00"/>
    <n v="21"/>
    <x v="0"/>
    <x v="22"/>
    <x v="0"/>
    <n v="2"/>
    <n v="300"/>
    <n v="321"/>
    <n v="600"/>
    <x v="0"/>
    <n v="12"/>
    <x v="2"/>
    <n v="2"/>
    <x v="3"/>
    <x v="0"/>
    <n v="279"/>
    <n v="0.46500000000000002"/>
    <n v="1"/>
  </r>
  <r>
    <n v="855"/>
    <d v="2022-11-21T00:00:00"/>
    <d v="1899-12-30T19:43:00"/>
    <n v="13"/>
    <x v="0"/>
    <x v="29"/>
    <x v="1"/>
    <n v="1"/>
    <n v="25"/>
    <n v="25.75"/>
    <n v="25"/>
    <x v="0"/>
    <n v="11"/>
    <x v="0"/>
    <n v="21"/>
    <x v="1"/>
    <x v="0"/>
    <n v="-0.75"/>
    <n v="-0.03"/>
    <n v="0"/>
  </r>
  <r>
    <n v="1200"/>
    <d v="2023-10-18T00:00:00"/>
    <d v="1899-12-30T19:04:00"/>
    <n v="20"/>
    <x v="0"/>
    <x v="17"/>
    <x v="1"/>
    <n v="3"/>
    <n v="50"/>
    <n v="54.5"/>
    <n v="150"/>
    <x v="1"/>
    <n v="10"/>
    <x v="5"/>
    <n v="18"/>
    <x v="4"/>
    <x v="0"/>
    <n v="95.5"/>
    <n v="0.63666666699999996"/>
    <n v="1"/>
  </r>
  <r>
    <n v="1594"/>
    <d v="2023-10-01T00:00:00"/>
    <d v="1899-12-30T19:02:00"/>
    <n v="31"/>
    <x v="1"/>
    <x v="4"/>
    <x v="2"/>
    <n v="2"/>
    <n v="300"/>
    <n v="345"/>
    <n v="600"/>
    <x v="1"/>
    <n v="10"/>
    <x v="5"/>
    <n v="1"/>
    <x v="5"/>
    <x v="0"/>
    <n v="255"/>
    <n v="0.42499999999999999"/>
    <n v="1"/>
  </r>
  <r>
    <n v="1637"/>
    <d v="2022-10-25T00:00:00"/>
    <d v="1899-12-30T20:50:00"/>
    <n v="97"/>
    <x v="0"/>
    <x v="22"/>
    <x v="0"/>
    <n v="2"/>
    <n v="300"/>
    <n v="297"/>
    <n v="600"/>
    <x v="0"/>
    <n v="10"/>
    <x v="5"/>
    <n v="25"/>
    <x v="6"/>
    <x v="0"/>
    <n v="303"/>
    <n v="0.505"/>
    <n v="1"/>
  </r>
  <r>
    <n v="1855"/>
    <d v="2023-12-27T00:00:00"/>
    <d v="1899-12-30T21:15:00"/>
    <n v="44"/>
    <x v="0"/>
    <x v="29"/>
    <x v="1"/>
    <n v="1"/>
    <n v="25"/>
    <n v="31.25"/>
    <n v="25"/>
    <x v="1"/>
    <n v="12"/>
    <x v="2"/>
    <n v="27"/>
    <x v="4"/>
    <x v="0"/>
    <n v="-6.25"/>
    <n v="-0.25"/>
    <n v="0"/>
  </r>
  <r>
    <n v="325"/>
    <d v="2023-09-16T00:00:00"/>
    <d v="1899-12-30T22:02:00"/>
    <n v="6"/>
    <x v="1"/>
    <x v="41"/>
    <x v="2"/>
    <n v="2"/>
    <n v="25"/>
    <n v="31.25"/>
    <n v="50"/>
    <x v="1"/>
    <n v="9"/>
    <x v="9"/>
    <n v="16"/>
    <x v="0"/>
    <x v="1"/>
    <n v="18.75"/>
    <n v="0.375"/>
    <n v="0"/>
  </r>
  <r>
    <n v="682"/>
    <d v="2023-10-23T00:00:00"/>
    <d v="1899-12-30T20:51:00"/>
    <n v="60"/>
    <x v="0"/>
    <x v="1"/>
    <x v="1"/>
    <n v="4"/>
    <n v="300"/>
    <n v="354"/>
    <n v="1200"/>
    <x v="1"/>
    <n v="10"/>
    <x v="5"/>
    <n v="23"/>
    <x v="1"/>
    <x v="0"/>
    <n v="846"/>
    <n v="0.70499999999999996"/>
    <n v="1"/>
  </r>
  <r>
    <n v="931"/>
    <d v="2023-10-07T00:00:00"/>
    <d v="1899-12-30T21:34:00"/>
    <n v="48"/>
    <x v="0"/>
    <x v="7"/>
    <x v="1"/>
    <n v="4"/>
    <n v="30"/>
    <n v="29.1"/>
    <n v="120"/>
    <x v="1"/>
    <n v="10"/>
    <x v="5"/>
    <n v="7"/>
    <x v="0"/>
    <x v="0"/>
    <n v="90.9"/>
    <n v="0.75749999999999995"/>
    <n v="0"/>
  </r>
  <r>
    <n v="1325"/>
    <d v="2022-10-11T00:00:00"/>
    <d v="1899-12-30T19:47:00"/>
    <n v="18"/>
    <x v="1"/>
    <x v="41"/>
    <x v="2"/>
    <n v="2"/>
    <n v="25"/>
    <n v="26.75"/>
    <n v="50"/>
    <x v="0"/>
    <n v="10"/>
    <x v="5"/>
    <n v="11"/>
    <x v="6"/>
    <x v="0"/>
    <n v="23.25"/>
    <n v="0.46500000000000002"/>
    <n v="0"/>
  </r>
  <r>
    <n v="1682"/>
    <d v="2022-12-30T00:00:00"/>
    <d v="1899-12-30T19:30:00"/>
    <n v="71"/>
    <x v="0"/>
    <x v="1"/>
    <x v="1"/>
    <n v="4"/>
    <n v="300"/>
    <n v="315"/>
    <n v="1200"/>
    <x v="0"/>
    <n v="12"/>
    <x v="2"/>
    <n v="30"/>
    <x v="3"/>
    <x v="0"/>
    <n v="885"/>
    <n v="0.73750000000000004"/>
    <n v="1"/>
  </r>
  <r>
    <n v="1931"/>
    <d v="2022-12-01T00:00:00"/>
    <d v="1899-12-30T19:15:00"/>
    <n v="61"/>
    <x v="0"/>
    <x v="7"/>
    <x v="1"/>
    <n v="4"/>
    <n v="30"/>
    <n v="34.200000000000003"/>
    <n v="120"/>
    <x v="0"/>
    <n v="12"/>
    <x v="2"/>
    <n v="1"/>
    <x v="2"/>
    <x v="0"/>
    <n v="85.8"/>
    <n v="0.71499999999999997"/>
    <n v="0"/>
  </r>
  <r>
    <n v="925"/>
    <d v="2022-12-20T00:00:00"/>
    <d v="1899-12-30T17:12:00"/>
    <n v="54"/>
    <x v="0"/>
    <x v="38"/>
    <x v="2"/>
    <n v="1"/>
    <n v="300"/>
    <n v="315"/>
    <n v="300"/>
    <x v="0"/>
    <n v="12"/>
    <x v="2"/>
    <n v="20"/>
    <x v="6"/>
    <x v="0"/>
    <n v="-15"/>
    <n v="-0.05"/>
    <n v="1"/>
  </r>
  <r>
    <n v="1925"/>
    <d v="2023-12-21T00:00:00"/>
    <d v="1899-12-30T17:05:00"/>
    <n v="81"/>
    <x v="0"/>
    <x v="38"/>
    <x v="2"/>
    <n v="1"/>
    <n v="300"/>
    <n v="366"/>
    <n v="300"/>
    <x v="1"/>
    <n v="12"/>
    <x v="2"/>
    <n v="21"/>
    <x v="2"/>
    <x v="0"/>
    <n v="-66"/>
    <n v="-0.22"/>
    <n v="1"/>
  </r>
  <r>
    <n v="297"/>
    <d v="2022-09-12T00:00:00"/>
    <d v="1899-12-30T21:09:00"/>
    <n v="70"/>
    <x v="1"/>
    <x v="2"/>
    <x v="2"/>
    <n v="2"/>
    <n v="500"/>
    <n v="595"/>
    <n v="1000"/>
    <x v="0"/>
    <n v="9"/>
    <x v="9"/>
    <n v="12"/>
    <x v="1"/>
    <x v="1"/>
    <n v="405"/>
    <n v="0.40500000000000003"/>
    <n v="1"/>
  </r>
  <r>
    <n v="1297"/>
    <d v="2023-10-20T00:00:00"/>
    <d v="1899-12-30T22:32:00"/>
    <n v="21"/>
    <x v="1"/>
    <x v="2"/>
    <x v="2"/>
    <n v="2"/>
    <n v="500"/>
    <n v="535"/>
    <n v="1000"/>
    <x v="1"/>
    <n v="10"/>
    <x v="5"/>
    <n v="20"/>
    <x v="3"/>
    <x v="0"/>
    <n v="465"/>
    <n v="0.46500000000000002"/>
    <n v="1"/>
  </r>
  <r>
    <n v="814"/>
    <d v="2022-10-01T00:00:00"/>
    <d v="1899-12-30T20:33:00"/>
    <n v="96"/>
    <x v="1"/>
    <x v="26"/>
    <x v="0"/>
    <n v="1"/>
    <n v="500"/>
    <n v="540"/>
    <n v="500"/>
    <x v="0"/>
    <n v="10"/>
    <x v="5"/>
    <n v="1"/>
    <x v="0"/>
    <x v="0"/>
    <n v="-40"/>
    <n v="-0.08"/>
    <n v="1"/>
  </r>
  <r>
    <n v="894"/>
    <d v="2022-09-22T00:00:00"/>
    <d v="1899-12-30T22:53:00"/>
    <n v="111"/>
    <x v="0"/>
    <x v="41"/>
    <x v="2"/>
    <n v="1"/>
    <n v="30"/>
    <n v="30.6"/>
    <n v="30"/>
    <x v="0"/>
    <n v="9"/>
    <x v="9"/>
    <n v="22"/>
    <x v="2"/>
    <x v="1"/>
    <n v="-0.6"/>
    <n v="-0.02"/>
    <n v="0"/>
  </r>
  <r>
    <n v="1814"/>
    <d v="2022-09-07T00:00:00"/>
    <d v="1899-12-30T17:53:00"/>
    <n v="43"/>
    <x v="1"/>
    <x v="26"/>
    <x v="0"/>
    <n v="1"/>
    <n v="500"/>
    <n v="620"/>
    <n v="500"/>
    <x v="0"/>
    <n v="9"/>
    <x v="9"/>
    <n v="7"/>
    <x v="4"/>
    <x v="1"/>
    <n v="-120"/>
    <n v="-0.24"/>
    <n v="1"/>
  </r>
  <r>
    <n v="1894"/>
    <d v="2023-12-29T00:00:00"/>
    <d v="1899-12-30T18:11:00"/>
    <n v="92"/>
    <x v="0"/>
    <x v="41"/>
    <x v="2"/>
    <n v="1"/>
    <n v="30"/>
    <n v="30"/>
    <n v="30"/>
    <x v="1"/>
    <n v="12"/>
    <x v="2"/>
    <n v="29"/>
    <x v="3"/>
    <x v="0"/>
    <n v="0"/>
    <n v="0"/>
    <n v="0"/>
  </r>
  <r>
    <n v="194"/>
    <d v="2023-10-11T00:00:00"/>
    <d v="1899-12-30T19:27:00"/>
    <n v="116"/>
    <x v="0"/>
    <x v="46"/>
    <x v="0"/>
    <n v="4"/>
    <n v="50"/>
    <n v="51.5"/>
    <n v="200"/>
    <x v="1"/>
    <n v="10"/>
    <x v="5"/>
    <n v="11"/>
    <x v="4"/>
    <x v="0"/>
    <n v="148.5"/>
    <n v="0.74250000000000005"/>
    <n v="1"/>
  </r>
  <r>
    <n v="245"/>
    <d v="2023-12-01T00:00:00"/>
    <d v="1899-12-30T21:41:00"/>
    <n v="75"/>
    <x v="0"/>
    <x v="35"/>
    <x v="0"/>
    <n v="3"/>
    <n v="30"/>
    <n v="36"/>
    <n v="90"/>
    <x v="1"/>
    <n v="12"/>
    <x v="2"/>
    <n v="1"/>
    <x v="3"/>
    <x v="0"/>
    <n v="54"/>
    <n v="0.6"/>
    <n v="0"/>
  </r>
  <r>
    <n v="296"/>
    <d v="2022-12-31T00:00:00"/>
    <d v="1899-12-30T22:44:00"/>
    <n v="73"/>
    <x v="1"/>
    <x v="30"/>
    <x v="0"/>
    <n v="4"/>
    <n v="300"/>
    <n v="369"/>
    <n v="1200"/>
    <x v="0"/>
    <n v="12"/>
    <x v="2"/>
    <n v="31"/>
    <x v="0"/>
    <x v="0"/>
    <n v="831"/>
    <n v="0.6925"/>
    <n v="1"/>
  </r>
  <r>
    <n v="644"/>
    <d v="2022-10-13T00:00:00"/>
    <d v="1899-12-30T21:49:00"/>
    <n v="107"/>
    <x v="0"/>
    <x v="8"/>
    <x v="1"/>
    <n v="3"/>
    <n v="25"/>
    <n v="29"/>
    <n v="75"/>
    <x v="0"/>
    <n v="10"/>
    <x v="5"/>
    <n v="13"/>
    <x v="2"/>
    <x v="0"/>
    <n v="46"/>
    <n v="0.61333333300000004"/>
    <n v="0"/>
  </r>
  <r>
    <n v="696"/>
    <d v="2023-10-09T00:00:00"/>
    <d v="1899-12-30T18:05:00"/>
    <n v="24"/>
    <x v="1"/>
    <x v="20"/>
    <x v="0"/>
    <n v="4"/>
    <n v="50"/>
    <n v="48.5"/>
    <n v="200"/>
    <x v="1"/>
    <n v="10"/>
    <x v="5"/>
    <n v="9"/>
    <x v="1"/>
    <x v="0"/>
    <n v="151.5"/>
    <n v="0.75749999999999995"/>
    <n v="1"/>
  </r>
  <r>
    <n v="1194"/>
    <d v="2023-10-09T00:00:00"/>
    <d v="1899-12-30T22:06:00"/>
    <n v="130"/>
    <x v="0"/>
    <x v="46"/>
    <x v="0"/>
    <n v="4"/>
    <n v="50"/>
    <n v="61.5"/>
    <n v="200"/>
    <x v="1"/>
    <n v="10"/>
    <x v="5"/>
    <n v="9"/>
    <x v="1"/>
    <x v="0"/>
    <n v="138.5"/>
    <n v="0.6925"/>
    <n v="1"/>
  </r>
  <r>
    <n v="1245"/>
    <d v="2022-10-25T00:00:00"/>
    <d v="1899-12-30T20:47:00"/>
    <n v="129"/>
    <x v="0"/>
    <x v="35"/>
    <x v="0"/>
    <n v="3"/>
    <n v="30"/>
    <n v="36"/>
    <n v="90"/>
    <x v="0"/>
    <n v="10"/>
    <x v="5"/>
    <n v="25"/>
    <x v="6"/>
    <x v="0"/>
    <n v="54"/>
    <n v="0.6"/>
    <n v="0"/>
  </r>
  <r>
    <n v="1296"/>
    <d v="2022-11-26T00:00:00"/>
    <d v="1899-12-30T20:42:00"/>
    <n v="45"/>
    <x v="1"/>
    <x v="30"/>
    <x v="0"/>
    <n v="4"/>
    <n v="300"/>
    <n v="342"/>
    <n v="1200"/>
    <x v="0"/>
    <n v="11"/>
    <x v="0"/>
    <n v="26"/>
    <x v="0"/>
    <x v="0"/>
    <n v="858"/>
    <n v="0.71499999999999997"/>
    <n v="1"/>
  </r>
  <r>
    <n v="1644"/>
    <d v="2022-09-11T00:00:00"/>
    <d v="1899-12-30T19:32:00"/>
    <n v="124"/>
    <x v="0"/>
    <x v="8"/>
    <x v="1"/>
    <n v="3"/>
    <n v="25"/>
    <n v="28.75"/>
    <n v="75"/>
    <x v="0"/>
    <n v="9"/>
    <x v="9"/>
    <n v="11"/>
    <x v="5"/>
    <x v="1"/>
    <n v="46.25"/>
    <n v="0.61666666699999995"/>
    <n v="0"/>
  </r>
  <r>
    <n v="1696"/>
    <d v="2022-11-21T00:00:00"/>
    <d v="1899-12-30T17:59:00"/>
    <n v="24"/>
    <x v="1"/>
    <x v="20"/>
    <x v="0"/>
    <n v="4"/>
    <n v="50"/>
    <n v="55"/>
    <n v="200"/>
    <x v="0"/>
    <n v="11"/>
    <x v="0"/>
    <n v="21"/>
    <x v="1"/>
    <x v="0"/>
    <n v="145"/>
    <n v="0.72499999999999998"/>
    <n v="1"/>
  </r>
  <r>
    <n v="312"/>
    <d v="2022-10-31T00:00:00"/>
    <d v="1899-12-30T18:08:00"/>
    <n v="18"/>
    <x v="0"/>
    <x v="0"/>
    <x v="0"/>
    <n v="4"/>
    <n v="30"/>
    <n v="28.5"/>
    <n v="120"/>
    <x v="0"/>
    <n v="10"/>
    <x v="5"/>
    <n v="31"/>
    <x v="1"/>
    <x v="0"/>
    <n v="91.5"/>
    <n v="0.76249999999999996"/>
    <n v="0"/>
  </r>
  <r>
    <n v="692"/>
    <d v="2022-09-30T00:00:00"/>
    <d v="1899-12-30T19:48:00"/>
    <n v="110"/>
    <x v="1"/>
    <x v="3"/>
    <x v="0"/>
    <n v="2"/>
    <n v="50"/>
    <n v="49.5"/>
    <n v="100"/>
    <x v="0"/>
    <n v="9"/>
    <x v="9"/>
    <n v="30"/>
    <x v="3"/>
    <x v="1"/>
    <n v="50.5"/>
    <n v="0.505"/>
    <n v="0"/>
  </r>
  <r>
    <n v="835"/>
    <d v="2022-09-30T00:00:00"/>
    <d v="1899-12-30T23:00:00"/>
    <n v="49"/>
    <x v="0"/>
    <x v="5"/>
    <x v="0"/>
    <n v="4"/>
    <n v="50"/>
    <n v="60"/>
    <n v="200"/>
    <x v="0"/>
    <n v="9"/>
    <x v="9"/>
    <n v="30"/>
    <x v="3"/>
    <x v="1"/>
    <n v="140"/>
    <n v="0.7"/>
    <n v="1"/>
  </r>
  <r>
    <n v="1312"/>
    <d v="2022-12-03T00:00:00"/>
    <d v="1899-12-30T17:28:00"/>
    <n v="73"/>
    <x v="0"/>
    <x v="0"/>
    <x v="0"/>
    <n v="4"/>
    <n v="30"/>
    <n v="29.1"/>
    <n v="120"/>
    <x v="0"/>
    <n v="12"/>
    <x v="2"/>
    <n v="3"/>
    <x v="0"/>
    <x v="0"/>
    <n v="90.9"/>
    <n v="0.75749999999999995"/>
    <n v="0"/>
  </r>
  <r>
    <n v="1692"/>
    <d v="2023-10-11T00:00:00"/>
    <d v="1899-12-30T19:50:00"/>
    <n v="103"/>
    <x v="1"/>
    <x v="3"/>
    <x v="0"/>
    <n v="2"/>
    <n v="50"/>
    <n v="59.5"/>
    <n v="100"/>
    <x v="1"/>
    <n v="10"/>
    <x v="5"/>
    <n v="11"/>
    <x v="4"/>
    <x v="0"/>
    <n v="40.5"/>
    <n v="0.40500000000000003"/>
    <n v="0"/>
  </r>
  <r>
    <n v="1835"/>
    <d v="2022-09-18T00:00:00"/>
    <d v="1899-12-30T20:58:00"/>
    <n v="98"/>
    <x v="0"/>
    <x v="5"/>
    <x v="0"/>
    <n v="4"/>
    <n v="50"/>
    <n v="49.5"/>
    <n v="200"/>
    <x v="0"/>
    <n v="9"/>
    <x v="9"/>
    <n v="18"/>
    <x v="5"/>
    <x v="1"/>
    <n v="150.5"/>
    <n v="0.75249999999999995"/>
    <n v="1"/>
  </r>
  <r>
    <n v="183"/>
    <d v="2022-09-01T00:00:00"/>
    <d v="1899-12-30T19:22:00"/>
    <n v="28"/>
    <x v="1"/>
    <x v="22"/>
    <x v="1"/>
    <n v="3"/>
    <n v="300"/>
    <n v="375"/>
    <n v="900"/>
    <x v="0"/>
    <n v="9"/>
    <x v="9"/>
    <n v="1"/>
    <x v="2"/>
    <x v="1"/>
    <n v="525"/>
    <n v="0.58333333300000001"/>
    <n v="1"/>
  </r>
  <r>
    <n v="413"/>
    <d v="2023-11-28T00:00:00"/>
    <d v="1899-12-30T21:52:00"/>
    <n v="60"/>
    <x v="1"/>
    <x v="47"/>
    <x v="1"/>
    <n v="3"/>
    <n v="25"/>
    <n v="25.5"/>
    <n v="75"/>
    <x v="1"/>
    <n v="11"/>
    <x v="0"/>
    <n v="28"/>
    <x v="6"/>
    <x v="0"/>
    <n v="49.5"/>
    <n v="0.66"/>
    <n v="0"/>
  </r>
  <r>
    <n v="799"/>
    <d v="2023-10-01T00:00:00"/>
    <d v="1899-12-30T19:44:00"/>
    <n v="86"/>
    <x v="0"/>
    <x v="34"/>
    <x v="2"/>
    <n v="2"/>
    <n v="50"/>
    <n v="60"/>
    <n v="100"/>
    <x v="1"/>
    <n v="10"/>
    <x v="5"/>
    <n v="1"/>
    <x v="5"/>
    <x v="0"/>
    <n v="40"/>
    <n v="0.4"/>
    <n v="0"/>
  </r>
  <r>
    <n v="851"/>
    <d v="2023-11-30T00:00:00"/>
    <d v="1899-12-30T17:23:00"/>
    <n v="30"/>
    <x v="0"/>
    <x v="37"/>
    <x v="2"/>
    <n v="2"/>
    <n v="25"/>
    <n v="27.75"/>
    <n v="50"/>
    <x v="1"/>
    <n v="11"/>
    <x v="0"/>
    <n v="30"/>
    <x v="2"/>
    <x v="0"/>
    <n v="22.25"/>
    <n v="0.44500000000000001"/>
    <n v="0"/>
  </r>
  <r>
    <n v="1183"/>
    <d v="2022-12-28T00:00:00"/>
    <d v="1899-12-30T17:10:00"/>
    <n v="54"/>
    <x v="1"/>
    <x v="22"/>
    <x v="1"/>
    <n v="3"/>
    <n v="300"/>
    <n v="342"/>
    <n v="900"/>
    <x v="0"/>
    <n v="12"/>
    <x v="2"/>
    <n v="28"/>
    <x v="4"/>
    <x v="0"/>
    <n v="558"/>
    <n v="0.62"/>
    <n v="1"/>
  </r>
  <r>
    <n v="1413"/>
    <d v="2023-11-12T00:00:00"/>
    <d v="1899-12-30T19:33:00"/>
    <n v="104"/>
    <x v="1"/>
    <x v="47"/>
    <x v="1"/>
    <n v="3"/>
    <n v="25"/>
    <n v="30.75"/>
    <n v="75"/>
    <x v="1"/>
    <n v="11"/>
    <x v="0"/>
    <n v="12"/>
    <x v="5"/>
    <x v="0"/>
    <n v="44.25"/>
    <n v="0.59"/>
    <n v="0"/>
  </r>
  <r>
    <n v="1799"/>
    <d v="2023-10-01T00:00:00"/>
    <d v="1899-12-30T19:09:00"/>
    <n v="132"/>
    <x v="0"/>
    <x v="34"/>
    <x v="2"/>
    <n v="2"/>
    <n v="50"/>
    <n v="51"/>
    <n v="100"/>
    <x v="1"/>
    <n v="10"/>
    <x v="5"/>
    <n v="1"/>
    <x v="5"/>
    <x v="0"/>
    <n v="49"/>
    <n v="0.49"/>
    <n v="0"/>
  </r>
  <r>
    <n v="1851"/>
    <d v="2022-09-10T00:00:00"/>
    <d v="1899-12-30T21:36:00"/>
    <n v="87"/>
    <x v="0"/>
    <x v="37"/>
    <x v="2"/>
    <n v="2"/>
    <n v="25"/>
    <n v="25"/>
    <n v="50"/>
    <x v="0"/>
    <n v="9"/>
    <x v="9"/>
    <n v="10"/>
    <x v="0"/>
    <x v="1"/>
    <n v="25"/>
    <n v="0.5"/>
    <n v="0"/>
  </r>
  <r>
    <n v="858"/>
    <d v="2023-09-08T00:00:00"/>
    <d v="1899-12-30T18:48:00"/>
    <n v="85"/>
    <x v="0"/>
    <x v="8"/>
    <x v="2"/>
    <n v="2"/>
    <n v="50"/>
    <n v="50.5"/>
    <n v="100"/>
    <x v="1"/>
    <n v="9"/>
    <x v="9"/>
    <n v="8"/>
    <x v="3"/>
    <x v="1"/>
    <n v="49.5"/>
    <n v="0.495"/>
    <n v="0"/>
  </r>
  <r>
    <n v="919"/>
    <d v="2023-10-28T00:00:00"/>
    <d v="1899-12-30T21:13:00"/>
    <n v="82"/>
    <x v="1"/>
    <x v="30"/>
    <x v="1"/>
    <n v="2"/>
    <n v="25"/>
    <n v="27.75"/>
    <n v="50"/>
    <x v="1"/>
    <n v="10"/>
    <x v="5"/>
    <n v="28"/>
    <x v="0"/>
    <x v="0"/>
    <n v="22.25"/>
    <n v="0.44500000000000001"/>
    <n v="0"/>
  </r>
  <r>
    <n v="935"/>
    <d v="2022-09-10T00:00:00"/>
    <d v="1899-12-30T21:16:00"/>
    <n v="2"/>
    <x v="1"/>
    <x v="23"/>
    <x v="1"/>
    <n v="1"/>
    <n v="50"/>
    <n v="55.5"/>
    <n v="50"/>
    <x v="0"/>
    <n v="9"/>
    <x v="9"/>
    <n v="10"/>
    <x v="0"/>
    <x v="1"/>
    <n v="-5.5"/>
    <n v="-0.11"/>
    <n v="0"/>
  </r>
  <r>
    <n v="1858"/>
    <d v="2023-09-14T00:00:00"/>
    <d v="1899-12-30T20:47:00"/>
    <n v="49"/>
    <x v="0"/>
    <x v="8"/>
    <x v="2"/>
    <n v="2"/>
    <n v="50"/>
    <n v="52"/>
    <n v="100"/>
    <x v="1"/>
    <n v="9"/>
    <x v="9"/>
    <n v="14"/>
    <x v="2"/>
    <x v="1"/>
    <n v="48"/>
    <n v="0.48"/>
    <n v="0"/>
  </r>
  <r>
    <n v="1919"/>
    <d v="2022-10-25T00:00:00"/>
    <d v="1899-12-30T17:54:00"/>
    <n v="78"/>
    <x v="1"/>
    <x v="30"/>
    <x v="1"/>
    <n v="2"/>
    <n v="25"/>
    <n v="26.5"/>
    <n v="50"/>
    <x v="0"/>
    <n v="10"/>
    <x v="5"/>
    <n v="25"/>
    <x v="6"/>
    <x v="0"/>
    <n v="23.5"/>
    <n v="0.47"/>
    <n v="0"/>
  </r>
  <r>
    <n v="1935"/>
    <d v="2022-12-16T00:00:00"/>
    <d v="1899-12-30T22:40:00"/>
    <n v="96"/>
    <x v="1"/>
    <x v="23"/>
    <x v="1"/>
    <n v="1"/>
    <n v="50"/>
    <n v="47.5"/>
    <n v="50"/>
    <x v="0"/>
    <n v="12"/>
    <x v="2"/>
    <n v="16"/>
    <x v="3"/>
    <x v="0"/>
    <n v="2.5"/>
    <n v="0.05"/>
    <n v="0"/>
  </r>
  <r>
    <n v="132"/>
    <d v="2023-11-22T00:00:00"/>
    <d v="1899-12-30T20:34:00"/>
    <n v="86"/>
    <x v="0"/>
    <x v="25"/>
    <x v="2"/>
    <n v="4"/>
    <n v="50"/>
    <n v="62"/>
    <n v="200"/>
    <x v="1"/>
    <n v="11"/>
    <x v="0"/>
    <n v="22"/>
    <x v="4"/>
    <x v="0"/>
    <n v="138"/>
    <n v="0.69"/>
    <n v="1"/>
  </r>
  <r>
    <n v="1132"/>
    <d v="2023-11-07T00:00:00"/>
    <d v="1899-12-30T17:27:00"/>
    <n v="14"/>
    <x v="0"/>
    <x v="25"/>
    <x v="2"/>
    <n v="4"/>
    <n v="50"/>
    <n v="59"/>
    <n v="200"/>
    <x v="1"/>
    <n v="11"/>
    <x v="0"/>
    <n v="7"/>
    <x v="6"/>
    <x v="0"/>
    <n v="141"/>
    <n v="0.70499999999999996"/>
    <n v="1"/>
  </r>
  <r>
    <n v="604"/>
    <d v="2022-09-16T00:00:00"/>
    <d v="1899-12-30T19:34:00"/>
    <n v="139"/>
    <x v="1"/>
    <x v="33"/>
    <x v="2"/>
    <n v="4"/>
    <n v="50"/>
    <n v="50.5"/>
    <n v="200"/>
    <x v="0"/>
    <n v="9"/>
    <x v="9"/>
    <n v="16"/>
    <x v="3"/>
    <x v="1"/>
    <n v="149.5"/>
    <n v="0.74750000000000005"/>
    <n v="1"/>
  </r>
  <r>
    <n v="832"/>
    <d v="2022-11-13T00:00:00"/>
    <d v="1899-12-30T17:25:00"/>
    <n v="106"/>
    <x v="0"/>
    <x v="35"/>
    <x v="1"/>
    <n v="4"/>
    <n v="500"/>
    <n v="600"/>
    <n v="2000"/>
    <x v="0"/>
    <n v="11"/>
    <x v="0"/>
    <n v="13"/>
    <x v="5"/>
    <x v="0"/>
    <n v="1400"/>
    <n v="0.7"/>
    <n v="1"/>
  </r>
  <r>
    <n v="1604"/>
    <d v="2022-12-29T00:00:00"/>
    <d v="1899-12-30T18:43:00"/>
    <n v="2"/>
    <x v="1"/>
    <x v="33"/>
    <x v="2"/>
    <n v="4"/>
    <n v="50"/>
    <n v="56"/>
    <n v="200"/>
    <x v="0"/>
    <n v="12"/>
    <x v="2"/>
    <n v="29"/>
    <x v="2"/>
    <x v="0"/>
    <n v="144"/>
    <n v="0.72"/>
    <n v="1"/>
  </r>
  <r>
    <n v="1832"/>
    <d v="2023-11-10T00:00:00"/>
    <d v="1899-12-30T21:17:00"/>
    <n v="57"/>
    <x v="0"/>
    <x v="35"/>
    <x v="1"/>
    <n v="4"/>
    <n v="500"/>
    <n v="480"/>
    <n v="2000"/>
    <x v="1"/>
    <n v="11"/>
    <x v="0"/>
    <n v="10"/>
    <x v="3"/>
    <x v="0"/>
    <n v="1520"/>
    <n v="0.76"/>
    <n v="1"/>
  </r>
  <r>
    <n v="113"/>
    <d v="2022-10-08T00:00:00"/>
    <d v="1899-12-30T19:14:00"/>
    <n v="72"/>
    <x v="1"/>
    <x v="0"/>
    <x v="2"/>
    <n v="2"/>
    <n v="25"/>
    <n v="26.25"/>
    <n v="50"/>
    <x v="0"/>
    <n v="10"/>
    <x v="5"/>
    <n v="8"/>
    <x v="0"/>
    <x v="0"/>
    <n v="23.75"/>
    <n v="0.47499999999999998"/>
    <n v="0"/>
  </r>
  <r>
    <n v="1113"/>
    <d v="2023-12-08T00:00:00"/>
    <d v="1899-12-30T17:41:00"/>
    <n v="141"/>
    <x v="1"/>
    <x v="0"/>
    <x v="2"/>
    <n v="2"/>
    <n v="25"/>
    <n v="27.75"/>
    <n v="50"/>
    <x v="1"/>
    <n v="12"/>
    <x v="2"/>
    <n v="8"/>
    <x v="3"/>
    <x v="0"/>
    <n v="22.25"/>
    <n v="0.44500000000000001"/>
    <n v="0"/>
  </r>
  <r>
    <n v="165"/>
    <d v="2022-09-24T00:00:00"/>
    <d v="1899-12-30T19:01:00"/>
    <n v="75"/>
    <x v="1"/>
    <x v="13"/>
    <x v="0"/>
    <n v="4"/>
    <n v="300"/>
    <n v="318"/>
    <n v="1200"/>
    <x v="0"/>
    <n v="9"/>
    <x v="9"/>
    <n v="24"/>
    <x v="0"/>
    <x v="1"/>
    <n v="882"/>
    <n v="0.73499999999999999"/>
    <n v="1"/>
  </r>
  <r>
    <n v="1165"/>
    <d v="2023-12-01T00:00:00"/>
    <d v="1899-12-30T17:04:00"/>
    <n v="29"/>
    <x v="1"/>
    <x v="13"/>
    <x v="0"/>
    <n v="4"/>
    <n v="300"/>
    <n v="291"/>
    <n v="1200"/>
    <x v="1"/>
    <n v="12"/>
    <x v="2"/>
    <n v="1"/>
    <x v="3"/>
    <x v="0"/>
    <n v="909"/>
    <n v="0.75749999999999995"/>
    <n v="1"/>
  </r>
  <r>
    <n v="326"/>
    <d v="2023-11-23T00:00:00"/>
    <d v="1899-12-30T19:51:00"/>
    <n v="108"/>
    <x v="1"/>
    <x v="18"/>
    <x v="0"/>
    <n v="3"/>
    <n v="25"/>
    <n v="24.25"/>
    <n v="75"/>
    <x v="1"/>
    <n v="11"/>
    <x v="0"/>
    <n v="23"/>
    <x v="2"/>
    <x v="0"/>
    <n v="50.75"/>
    <n v="0.676666667"/>
    <n v="0"/>
  </r>
  <r>
    <n v="1326"/>
    <d v="2023-09-01T00:00:00"/>
    <d v="1899-12-30T22:35:00"/>
    <n v="66"/>
    <x v="1"/>
    <x v="18"/>
    <x v="0"/>
    <n v="3"/>
    <n v="25"/>
    <n v="28.75"/>
    <n v="75"/>
    <x v="1"/>
    <n v="9"/>
    <x v="9"/>
    <n v="1"/>
    <x v="3"/>
    <x v="1"/>
    <n v="46.25"/>
    <n v="0.61666666699999995"/>
    <n v="0"/>
  </r>
  <r>
    <n v="19"/>
    <d v="2023-11-26T00:00:00"/>
    <d v="1899-12-30T19:39:00"/>
    <n v="30"/>
    <x v="1"/>
    <x v="44"/>
    <x v="0"/>
    <n v="2"/>
    <n v="25"/>
    <n v="28.5"/>
    <n v="50"/>
    <x v="1"/>
    <n v="11"/>
    <x v="0"/>
    <n v="26"/>
    <x v="5"/>
    <x v="0"/>
    <n v="21.5"/>
    <n v="0.43"/>
    <n v="0"/>
  </r>
  <r>
    <n v="412"/>
    <d v="2022-09-04T00:00:00"/>
    <d v="1899-12-30T19:36:00"/>
    <n v="30"/>
    <x v="1"/>
    <x v="4"/>
    <x v="2"/>
    <n v="4"/>
    <n v="500"/>
    <n v="570"/>
    <n v="2000"/>
    <x v="0"/>
    <n v="9"/>
    <x v="9"/>
    <n v="4"/>
    <x v="5"/>
    <x v="1"/>
    <n v="1430"/>
    <n v="0.71499999999999997"/>
    <n v="1"/>
  </r>
  <r>
    <n v="632"/>
    <d v="2023-10-25T00:00:00"/>
    <d v="1899-12-30T20:13:00"/>
    <n v="78"/>
    <x v="1"/>
    <x v="6"/>
    <x v="2"/>
    <n v="4"/>
    <n v="25"/>
    <n v="24.75"/>
    <n v="100"/>
    <x v="1"/>
    <n v="10"/>
    <x v="5"/>
    <n v="25"/>
    <x v="4"/>
    <x v="0"/>
    <n v="75.25"/>
    <n v="0.75249999999999995"/>
    <n v="0"/>
  </r>
  <r>
    <n v="1019"/>
    <d v="2023-12-14T00:00:00"/>
    <d v="1899-12-30T21:22:00"/>
    <n v="56"/>
    <x v="1"/>
    <x v="44"/>
    <x v="0"/>
    <n v="2"/>
    <n v="25"/>
    <n v="25.75"/>
    <n v="50"/>
    <x v="1"/>
    <n v="12"/>
    <x v="2"/>
    <n v="14"/>
    <x v="2"/>
    <x v="0"/>
    <n v="24.25"/>
    <n v="0.48499999999999999"/>
    <n v="0"/>
  </r>
  <r>
    <n v="1412"/>
    <d v="2022-10-13T00:00:00"/>
    <d v="1899-12-30T19:59:00"/>
    <n v="75"/>
    <x v="1"/>
    <x v="4"/>
    <x v="2"/>
    <n v="4"/>
    <n v="500"/>
    <n v="615"/>
    <n v="2000"/>
    <x v="0"/>
    <n v="10"/>
    <x v="5"/>
    <n v="13"/>
    <x v="2"/>
    <x v="0"/>
    <n v="1385"/>
    <n v="0.6925"/>
    <n v="1"/>
  </r>
  <r>
    <n v="1632"/>
    <d v="2022-10-19T00:00:00"/>
    <d v="1899-12-30T18:16:00"/>
    <n v="29"/>
    <x v="1"/>
    <x v="6"/>
    <x v="2"/>
    <n v="4"/>
    <n v="25"/>
    <n v="24.75"/>
    <n v="100"/>
    <x v="0"/>
    <n v="10"/>
    <x v="5"/>
    <n v="19"/>
    <x v="4"/>
    <x v="0"/>
    <n v="75.25"/>
    <n v="0.75249999999999995"/>
    <n v="0"/>
  </r>
  <r>
    <n v="167"/>
    <d v="2023-09-21T00:00:00"/>
    <d v="1899-12-30T20:58:00"/>
    <n v="73"/>
    <x v="1"/>
    <x v="22"/>
    <x v="0"/>
    <n v="3"/>
    <n v="50"/>
    <n v="49"/>
    <n v="150"/>
    <x v="1"/>
    <n v="9"/>
    <x v="9"/>
    <n v="21"/>
    <x v="2"/>
    <x v="1"/>
    <n v="101"/>
    <n v="0.67333333299999998"/>
    <n v="1"/>
  </r>
  <r>
    <n v="172"/>
    <d v="2022-10-21T00:00:00"/>
    <d v="1899-12-30T18:09:00"/>
    <n v="52"/>
    <x v="0"/>
    <x v="37"/>
    <x v="1"/>
    <n v="2"/>
    <n v="25"/>
    <n v="28"/>
    <n v="50"/>
    <x v="0"/>
    <n v="10"/>
    <x v="5"/>
    <n v="21"/>
    <x v="3"/>
    <x v="0"/>
    <n v="22"/>
    <n v="0.44"/>
    <n v="0"/>
  </r>
  <r>
    <n v="375"/>
    <d v="2023-09-22T00:00:00"/>
    <d v="1899-12-30T17:32:00"/>
    <n v="25"/>
    <x v="0"/>
    <x v="37"/>
    <x v="0"/>
    <n v="1"/>
    <n v="50"/>
    <n v="52"/>
    <n v="50"/>
    <x v="1"/>
    <n v="9"/>
    <x v="9"/>
    <n v="22"/>
    <x v="3"/>
    <x v="1"/>
    <n v="-2"/>
    <n v="-0.04"/>
    <n v="0"/>
  </r>
  <r>
    <n v="538"/>
    <d v="2023-12-22T00:00:00"/>
    <d v="1899-12-30T18:20:00"/>
    <n v="102"/>
    <x v="0"/>
    <x v="18"/>
    <x v="0"/>
    <n v="3"/>
    <n v="50"/>
    <n v="56.5"/>
    <n v="150"/>
    <x v="1"/>
    <n v="12"/>
    <x v="2"/>
    <n v="22"/>
    <x v="3"/>
    <x v="0"/>
    <n v="93.5"/>
    <n v="0.62333333300000004"/>
    <n v="1"/>
  </r>
  <r>
    <n v="794"/>
    <d v="2022-11-02T00:00:00"/>
    <d v="1899-12-30T21:47:00"/>
    <n v="145"/>
    <x v="1"/>
    <x v="13"/>
    <x v="1"/>
    <n v="1"/>
    <n v="300"/>
    <n v="315"/>
    <n v="300"/>
    <x v="0"/>
    <n v="11"/>
    <x v="0"/>
    <n v="2"/>
    <x v="4"/>
    <x v="0"/>
    <n v="-15"/>
    <n v="-0.05"/>
    <n v="1"/>
  </r>
  <r>
    <n v="1167"/>
    <d v="2023-09-29T00:00:00"/>
    <d v="1899-12-30T21:21:00"/>
    <n v="9"/>
    <x v="1"/>
    <x v="22"/>
    <x v="0"/>
    <n v="3"/>
    <n v="50"/>
    <n v="54"/>
    <n v="150"/>
    <x v="1"/>
    <n v="9"/>
    <x v="9"/>
    <n v="29"/>
    <x v="3"/>
    <x v="1"/>
    <n v="96"/>
    <n v="0.64"/>
    <n v="1"/>
  </r>
  <r>
    <n v="1172"/>
    <d v="2022-10-19T00:00:00"/>
    <d v="1899-12-30T21:12:00"/>
    <n v="150"/>
    <x v="0"/>
    <x v="37"/>
    <x v="1"/>
    <n v="2"/>
    <n v="25"/>
    <n v="28.5"/>
    <n v="50"/>
    <x v="0"/>
    <n v="10"/>
    <x v="5"/>
    <n v="19"/>
    <x v="4"/>
    <x v="0"/>
    <n v="21.5"/>
    <n v="0.43"/>
    <n v="0"/>
  </r>
  <r>
    <n v="1375"/>
    <d v="2022-10-01T00:00:00"/>
    <d v="1899-12-30T17:50:00"/>
    <n v="79"/>
    <x v="0"/>
    <x v="37"/>
    <x v="0"/>
    <n v="1"/>
    <n v="50"/>
    <n v="59"/>
    <n v="50"/>
    <x v="0"/>
    <n v="10"/>
    <x v="5"/>
    <n v="1"/>
    <x v="0"/>
    <x v="0"/>
    <n v="-9"/>
    <n v="-0.18"/>
    <n v="0"/>
  </r>
  <r>
    <n v="1538"/>
    <d v="2022-09-12T00:00:00"/>
    <d v="1899-12-30T20:57:00"/>
    <n v="21"/>
    <x v="0"/>
    <x v="18"/>
    <x v="0"/>
    <n v="3"/>
    <n v="50"/>
    <n v="53.5"/>
    <n v="150"/>
    <x v="0"/>
    <n v="9"/>
    <x v="9"/>
    <n v="12"/>
    <x v="1"/>
    <x v="1"/>
    <n v="96.5"/>
    <n v="0.64333333299999995"/>
    <n v="1"/>
  </r>
  <r>
    <n v="1794"/>
    <d v="2022-12-22T00:00:00"/>
    <d v="1899-12-30T19:40:00"/>
    <n v="26"/>
    <x v="1"/>
    <x v="13"/>
    <x v="1"/>
    <n v="1"/>
    <n v="300"/>
    <n v="351"/>
    <n v="300"/>
    <x v="0"/>
    <n v="12"/>
    <x v="2"/>
    <n v="22"/>
    <x v="2"/>
    <x v="0"/>
    <n v="-51"/>
    <n v="-0.17"/>
    <n v="1"/>
  </r>
  <r>
    <n v="131"/>
    <d v="2023-09-29T00:00:00"/>
    <d v="1899-12-30T22:32:00"/>
    <n v="44"/>
    <x v="1"/>
    <x v="40"/>
    <x v="1"/>
    <n v="2"/>
    <n v="300"/>
    <n v="375"/>
    <n v="600"/>
    <x v="1"/>
    <n v="9"/>
    <x v="9"/>
    <n v="29"/>
    <x v="3"/>
    <x v="1"/>
    <n v="225"/>
    <n v="0.375"/>
    <n v="1"/>
  </r>
  <r>
    <n v="330"/>
    <d v="2022-10-11T00:00:00"/>
    <d v="1899-12-30T20:18:00"/>
    <n v="116"/>
    <x v="1"/>
    <x v="38"/>
    <x v="1"/>
    <n v="4"/>
    <n v="50"/>
    <n v="55"/>
    <n v="200"/>
    <x v="0"/>
    <n v="10"/>
    <x v="5"/>
    <n v="11"/>
    <x v="6"/>
    <x v="0"/>
    <n v="145"/>
    <n v="0.72499999999999998"/>
    <n v="1"/>
  </r>
  <r>
    <n v="494"/>
    <d v="2023-09-25T00:00:00"/>
    <d v="1899-12-30T20:18:00"/>
    <n v="140"/>
    <x v="1"/>
    <x v="25"/>
    <x v="1"/>
    <n v="4"/>
    <n v="50"/>
    <n v="58"/>
    <n v="200"/>
    <x v="1"/>
    <n v="9"/>
    <x v="9"/>
    <n v="25"/>
    <x v="1"/>
    <x v="1"/>
    <n v="142"/>
    <n v="0.71"/>
    <n v="1"/>
  </r>
  <r>
    <n v="1131"/>
    <d v="2022-12-31T00:00:00"/>
    <d v="1899-12-30T19:16:00"/>
    <n v="130"/>
    <x v="1"/>
    <x v="40"/>
    <x v="1"/>
    <n v="2"/>
    <n v="300"/>
    <n v="336"/>
    <n v="600"/>
    <x v="0"/>
    <n v="12"/>
    <x v="2"/>
    <n v="31"/>
    <x v="0"/>
    <x v="0"/>
    <n v="264"/>
    <n v="0.44"/>
    <n v="1"/>
  </r>
  <r>
    <n v="1330"/>
    <d v="2023-11-24T00:00:00"/>
    <d v="1899-12-30T17:49:00"/>
    <n v="20"/>
    <x v="1"/>
    <x v="38"/>
    <x v="1"/>
    <n v="4"/>
    <n v="50"/>
    <n v="48"/>
    <n v="200"/>
    <x v="1"/>
    <n v="11"/>
    <x v="0"/>
    <n v="24"/>
    <x v="3"/>
    <x v="0"/>
    <n v="152"/>
    <n v="0.76"/>
    <n v="1"/>
  </r>
  <r>
    <n v="1494"/>
    <d v="2022-10-23T00:00:00"/>
    <d v="1899-12-30T19:29:00"/>
    <n v="74"/>
    <x v="1"/>
    <x v="25"/>
    <x v="1"/>
    <n v="4"/>
    <n v="50"/>
    <n v="62.5"/>
    <n v="200"/>
    <x v="0"/>
    <n v="10"/>
    <x v="5"/>
    <n v="23"/>
    <x v="5"/>
    <x v="0"/>
    <n v="137.5"/>
    <n v="0.6875"/>
    <n v="1"/>
  </r>
  <r>
    <n v="513"/>
    <d v="2022-10-21T00:00:00"/>
    <d v="1899-12-30T18:31:00"/>
    <n v="85"/>
    <x v="0"/>
    <x v="24"/>
    <x v="2"/>
    <n v="4"/>
    <n v="25"/>
    <n v="24.5"/>
    <n v="100"/>
    <x v="0"/>
    <n v="10"/>
    <x v="5"/>
    <n v="21"/>
    <x v="3"/>
    <x v="0"/>
    <n v="75.5"/>
    <n v="0.755"/>
    <n v="0"/>
  </r>
  <r>
    <n v="573"/>
    <d v="2023-09-19T00:00:00"/>
    <d v="1899-12-30T22:59:00"/>
    <n v="78"/>
    <x v="0"/>
    <x v="28"/>
    <x v="1"/>
    <n v="2"/>
    <n v="30"/>
    <n v="36.299999999999997"/>
    <n v="60"/>
    <x v="1"/>
    <n v="9"/>
    <x v="9"/>
    <n v="19"/>
    <x v="6"/>
    <x v="1"/>
    <n v="23.7"/>
    <n v="0.39500000000000002"/>
    <n v="0"/>
  </r>
  <r>
    <n v="1513"/>
    <d v="2022-10-01T00:00:00"/>
    <d v="1899-12-30T21:47:00"/>
    <n v="19"/>
    <x v="0"/>
    <x v="24"/>
    <x v="2"/>
    <n v="4"/>
    <n v="25"/>
    <n v="31"/>
    <n v="100"/>
    <x v="0"/>
    <n v="10"/>
    <x v="5"/>
    <n v="1"/>
    <x v="0"/>
    <x v="0"/>
    <n v="69"/>
    <n v="0.69"/>
    <n v="0"/>
  </r>
  <r>
    <n v="1573"/>
    <d v="2022-10-13T00:00:00"/>
    <d v="1899-12-30T21:45:00"/>
    <n v="148"/>
    <x v="0"/>
    <x v="28"/>
    <x v="1"/>
    <n v="2"/>
    <n v="30"/>
    <n v="31.2"/>
    <n v="60"/>
    <x v="0"/>
    <n v="10"/>
    <x v="5"/>
    <n v="13"/>
    <x v="2"/>
    <x v="0"/>
    <n v="28.8"/>
    <n v="0.48"/>
    <n v="0"/>
  </r>
  <r>
    <n v="241"/>
    <d v="2023-12-19T00:00:00"/>
    <d v="1899-12-30T20:21:00"/>
    <n v="108"/>
    <x v="1"/>
    <x v="8"/>
    <x v="2"/>
    <n v="3"/>
    <n v="25"/>
    <n v="26.75"/>
    <n v="75"/>
    <x v="1"/>
    <n v="12"/>
    <x v="2"/>
    <n v="19"/>
    <x v="6"/>
    <x v="0"/>
    <n v="48.25"/>
    <n v="0.64333333299999995"/>
    <n v="0"/>
  </r>
  <r>
    <n v="579"/>
    <d v="2023-10-06T00:00:00"/>
    <d v="1899-12-30T17:43:00"/>
    <n v="41"/>
    <x v="1"/>
    <x v="9"/>
    <x v="2"/>
    <n v="1"/>
    <n v="30"/>
    <n v="36.6"/>
    <n v="30"/>
    <x v="1"/>
    <n v="10"/>
    <x v="5"/>
    <n v="6"/>
    <x v="3"/>
    <x v="0"/>
    <n v="-6.6"/>
    <n v="-0.22"/>
    <n v="0"/>
  </r>
  <r>
    <n v="1241"/>
    <d v="2023-09-10T00:00:00"/>
    <d v="1899-12-30T17:28:00"/>
    <n v="26"/>
    <x v="1"/>
    <x v="8"/>
    <x v="2"/>
    <n v="3"/>
    <n v="25"/>
    <n v="24.5"/>
    <n v="75"/>
    <x v="1"/>
    <n v="9"/>
    <x v="9"/>
    <n v="10"/>
    <x v="5"/>
    <x v="1"/>
    <n v="50.5"/>
    <n v="0.67333333299999998"/>
    <n v="0"/>
  </r>
  <r>
    <n v="1579"/>
    <d v="2023-09-28T00:00:00"/>
    <d v="1899-12-30T17:38:00"/>
    <n v="119"/>
    <x v="1"/>
    <x v="9"/>
    <x v="2"/>
    <n v="1"/>
    <n v="30"/>
    <n v="28.8"/>
    <n v="30"/>
    <x v="1"/>
    <n v="9"/>
    <x v="9"/>
    <n v="28"/>
    <x v="2"/>
    <x v="1"/>
    <n v="1.2"/>
    <n v="0.04"/>
    <n v="0"/>
  </r>
  <r>
    <n v="218"/>
    <d v="2022-11-24T00:00:00"/>
    <d v="1899-12-30T20:39:00"/>
    <n v="144"/>
    <x v="0"/>
    <x v="3"/>
    <x v="1"/>
    <n v="3"/>
    <n v="30"/>
    <n v="33.9"/>
    <n v="90"/>
    <x v="0"/>
    <n v="11"/>
    <x v="0"/>
    <n v="24"/>
    <x v="2"/>
    <x v="0"/>
    <n v="56.1"/>
    <n v="0.62333333300000004"/>
    <n v="0"/>
  </r>
  <r>
    <n v="846"/>
    <d v="2023-12-22T00:00:00"/>
    <d v="1899-12-30T18:46:00"/>
    <n v="13"/>
    <x v="0"/>
    <x v="25"/>
    <x v="1"/>
    <n v="1"/>
    <n v="50"/>
    <n v="59.5"/>
    <n v="50"/>
    <x v="1"/>
    <n v="12"/>
    <x v="2"/>
    <n v="22"/>
    <x v="3"/>
    <x v="0"/>
    <n v="-9.5"/>
    <n v="-0.19"/>
    <n v="0"/>
  </r>
  <r>
    <n v="1218"/>
    <d v="2023-10-25T00:00:00"/>
    <d v="1899-12-30T22:11:00"/>
    <n v="30"/>
    <x v="0"/>
    <x v="3"/>
    <x v="1"/>
    <n v="3"/>
    <n v="30"/>
    <n v="34.200000000000003"/>
    <n v="90"/>
    <x v="1"/>
    <n v="10"/>
    <x v="5"/>
    <n v="25"/>
    <x v="4"/>
    <x v="0"/>
    <n v="55.8"/>
    <n v="0.62"/>
    <n v="0"/>
  </r>
  <r>
    <n v="1846"/>
    <d v="2023-11-16T00:00:00"/>
    <d v="1899-12-30T17:51:00"/>
    <n v="83"/>
    <x v="0"/>
    <x v="25"/>
    <x v="1"/>
    <n v="1"/>
    <n v="50"/>
    <n v="49.5"/>
    <n v="50"/>
    <x v="1"/>
    <n v="11"/>
    <x v="0"/>
    <n v="16"/>
    <x v="2"/>
    <x v="0"/>
    <n v="0.5"/>
    <n v="0.01"/>
    <n v="0"/>
  </r>
  <r>
    <n v="616"/>
    <d v="2022-12-31T00:00:00"/>
    <d v="1899-12-30T19:18:00"/>
    <n v="122"/>
    <x v="0"/>
    <x v="0"/>
    <x v="0"/>
    <n v="2"/>
    <n v="50"/>
    <n v="49.5"/>
    <n v="100"/>
    <x v="0"/>
    <n v="12"/>
    <x v="2"/>
    <n v="31"/>
    <x v="0"/>
    <x v="0"/>
    <n v="50.5"/>
    <n v="0.505"/>
    <n v="0"/>
  </r>
  <r>
    <n v="1616"/>
    <d v="2022-09-22T00:00:00"/>
    <d v="1899-12-30T18:41:00"/>
    <n v="121"/>
    <x v="0"/>
    <x v="0"/>
    <x v="0"/>
    <n v="2"/>
    <n v="50"/>
    <n v="59"/>
    <n v="100"/>
    <x v="0"/>
    <n v="9"/>
    <x v="9"/>
    <n v="22"/>
    <x v="2"/>
    <x v="1"/>
    <n v="41"/>
    <n v="0.41"/>
    <n v="0"/>
  </r>
  <r>
    <n v="523"/>
    <d v="2023-11-13T00:00:00"/>
    <d v="1899-12-30T19:18:00"/>
    <n v="110"/>
    <x v="1"/>
    <x v="44"/>
    <x v="2"/>
    <n v="1"/>
    <n v="300"/>
    <n v="375"/>
    <n v="300"/>
    <x v="1"/>
    <n v="11"/>
    <x v="0"/>
    <n v="13"/>
    <x v="1"/>
    <x v="0"/>
    <n v="-75"/>
    <n v="-0.25"/>
    <n v="1"/>
  </r>
  <r>
    <n v="643"/>
    <d v="2022-10-05T00:00:00"/>
    <d v="1899-12-30T22:26:00"/>
    <n v="63"/>
    <x v="1"/>
    <x v="32"/>
    <x v="2"/>
    <n v="3"/>
    <n v="30"/>
    <n v="28.8"/>
    <n v="90"/>
    <x v="0"/>
    <n v="10"/>
    <x v="5"/>
    <n v="5"/>
    <x v="4"/>
    <x v="0"/>
    <n v="61.2"/>
    <n v="0.68"/>
    <n v="0"/>
  </r>
  <r>
    <n v="1523"/>
    <d v="2023-12-31T00:00:00"/>
    <d v="1899-12-30T20:40:00"/>
    <n v="150"/>
    <x v="1"/>
    <x v="44"/>
    <x v="2"/>
    <n v="1"/>
    <n v="300"/>
    <n v="330"/>
    <n v="300"/>
    <x v="1"/>
    <n v="12"/>
    <x v="2"/>
    <n v="31"/>
    <x v="5"/>
    <x v="0"/>
    <n v="-30"/>
    <n v="-0.1"/>
    <n v="1"/>
  </r>
  <r>
    <n v="1643"/>
    <d v="2023-10-17T00:00:00"/>
    <d v="1899-12-30T21:47:00"/>
    <n v="12"/>
    <x v="1"/>
    <x v="32"/>
    <x v="2"/>
    <n v="3"/>
    <n v="30"/>
    <n v="33.299999999999997"/>
    <n v="90"/>
    <x v="1"/>
    <n v="10"/>
    <x v="5"/>
    <n v="17"/>
    <x v="6"/>
    <x v="0"/>
    <n v="56.7"/>
    <n v="0.63"/>
    <n v="0"/>
  </r>
  <r>
    <n v="351"/>
    <d v="2023-11-11T00:00:00"/>
    <d v="1899-12-30T22:16:00"/>
    <n v="38"/>
    <x v="1"/>
    <x v="34"/>
    <x v="0"/>
    <n v="3"/>
    <n v="30"/>
    <n v="36.6"/>
    <n v="90"/>
    <x v="1"/>
    <n v="11"/>
    <x v="0"/>
    <n v="11"/>
    <x v="0"/>
    <x v="0"/>
    <n v="53.4"/>
    <n v="0.59333333300000002"/>
    <n v="0"/>
  </r>
  <r>
    <n v="809"/>
    <d v="2022-12-14T00:00:00"/>
    <d v="1899-12-30T22:51:00"/>
    <n v="124"/>
    <x v="1"/>
    <x v="44"/>
    <x v="1"/>
    <n v="2"/>
    <n v="50"/>
    <n v="50"/>
    <n v="100"/>
    <x v="0"/>
    <n v="12"/>
    <x v="2"/>
    <n v="14"/>
    <x v="4"/>
    <x v="0"/>
    <n v="50"/>
    <n v="0.5"/>
    <n v="0"/>
  </r>
  <r>
    <n v="954"/>
    <d v="2023-09-05T00:00:00"/>
    <d v="1899-12-30T21:03:00"/>
    <n v="87"/>
    <x v="1"/>
    <x v="20"/>
    <x v="2"/>
    <n v="3"/>
    <n v="300"/>
    <n v="321"/>
    <n v="900"/>
    <x v="1"/>
    <n v="9"/>
    <x v="9"/>
    <n v="5"/>
    <x v="6"/>
    <x v="1"/>
    <n v="579"/>
    <n v="0.64333333299999995"/>
    <n v="1"/>
  </r>
  <r>
    <n v="1351"/>
    <d v="2022-10-02T00:00:00"/>
    <d v="1899-12-30T20:58:00"/>
    <n v="88"/>
    <x v="1"/>
    <x v="34"/>
    <x v="0"/>
    <n v="3"/>
    <n v="30"/>
    <n v="28.5"/>
    <n v="90"/>
    <x v="0"/>
    <n v="10"/>
    <x v="5"/>
    <n v="2"/>
    <x v="5"/>
    <x v="0"/>
    <n v="61.5"/>
    <n v="0.68333333299999999"/>
    <n v="0"/>
  </r>
  <r>
    <n v="1809"/>
    <d v="2023-10-16T00:00:00"/>
    <d v="1899-12-30T18:09:00"/>
    <n v="51"/>
    <x v="1"/>
    <x v="44"/>
    <x v="1"/>
    <n v="2"/>
    <n v="50"/>
    <n v="61.5"/>
    <n v="100"/>
    <x v="1"/>
    <n v="10"/>
    <x v="5"/>
    <n v="16"/>
    <x v="1"/>
    <x v="0"/>
    <n v="38.5"/>
    <n v="0.38500000000000001"/>
    <n v="0"/>
  </r>
  <r>
    <n v="1954"/>
    <d v="2023-10-29T00:00:00"/>
    <d v="1899-12-30T17:30:00"/>
    <n v="93"/>
    <x v="1"/>
    <x v="20"/>
    <x v="2"/>
    <n v="3"/>
    <n v="300"/>
    <n v="318"/>
    <n v="900"/>
    <x v="1"/>
    <n v="10"/>
    <x v="5"/>
    <n v="29"/>
    <x v="5"/>
    <x v="0"/>
    <n v="582"/>
    <n v="0.64666666699999997"/>
    <n v="1"/>
  </r>
  <r>
    <n v="897"/>
    <d v="2023-09-12T00:00:00"/>
    <d v="1899-12-30T17:53:00"/>
    <n v="15"/>
    <x v="1"/>
    <x v="3"/>
    <x v="2"/>
    <n v="2"/>
    <n v="50"/>
    <n v="51.5"/>
    <n v="100"/>
    <x v="1"/>
    <n v="9"/>
    <x v="9"/>
    <n v="12"/>
    <x v="6"/>
    <x v="1"/>
    <n v="48.5"/>
    <n v="0.48499999999999999"/>
    <n v="0"/>
  </r>
  <r>
    <n v="1897"/>
    <d v="2023-10-27T00:00:00"/>
    <d v="1899-12-30T17:12:00"/>
    <n v="137"/>
    <x v="1"/>
    <x v="3"/>
    <x v="2"/>
    <n v="2"/>
    <n v="50"/>
    <n v="62"/>
    <n v="100"/>
    <x v="1"/>
    <n v="10"/>
    <x v="5"/>
    <n v="27"/>
    <x v="3"/>
    <x v="0"/>
    <n v="38"/>
    <n v="0.38"/>
    <n v="0"/>
  </r>
  <r>
    <n v="147"/>
    <d v="2022-11-12T00:00:00"/>
    <d v="1899-12-30T20:30:00"/>
    <n v="101"/>
    <x v="0"/>
    <x v="8"/>
    <x v="2"/>
    <n v="1"/>
    <n v="300"/>
    <n v="297"/>
    <n v="300"/>
    <x v="0"/>
    <n v="11"/>
    <x v="0"/>
    <n v="12"/>
    <x v="0"/>
    <x v="0"/>
    <n v="3"/>
    <n v="0.01"/>
    <n v="1"/>
  </r>
  <r>
    <n v="204"/>
    <d v="2022-09-10T00:00:00"/>
    <d v="1899-12-30T21:04:00"/>
    <n v="101"/>
    <x v="0"/>
    <x v="27"/>
    <x v="1"/>
    <n v="1"/>
    <n v="25"/>
    <n v="31.25"/>
    <n v="25"/>
    <x v="0"/>
    <n v="9"/>
    <x v="9"/>
    <n v="10"/>
    <x v="0"/>
    <x v="1"/>
    <n v="-6.25"/>
    <n v="-0.25"/>
    <n v="0"/>
  </r>
  <r>
    <n v="390"/>
    <d v="2022-10-07T00:00:00"/>
    <d v="1899-12-30T20:53:00"/>
    <n v="88"/>
    <x v="0"/>
    <x v="27"/>
    <x v="2"/>
    <n v="2"/>
    <n v="50"/>
    <n v="51"/>
    <n v="100"/>
    <x v="0"/>
    <n v="10"/>
    <x v="5"/>
    <n v="7"/>
    <x v="3"/>
    <x v="0"/>
    <n v="49"/>
    <n v="0.49"/>
    <n v="0"/>
  </r>
  <r>
    <n v="1147"/>
    <d v="2023-11-25T00:00:00"/>
    <d v="1899-12-30T22:14:00"/>
    <n v="35"/>
    <x v="0"/>
    <x v="8"/>
    <x v="2"/>
    <n v="1"/>
    <n v="300"/>
    <n v="330"/>
    <n v="300"/>
    <x v="1"/>
    <n v="11"/>
    <x v="0"/>
    <n v="25"/>
    <x v="0"/>
    <x v="0"/>
    <n v="-30"/>
    <n v="-0.1"/>
    <n v="1"/>
  </r>
  <r>
    <n v="1204"/>
    <d v="2023-12-10T00:00:00"/>
    <d v="1899-12-30T19:24:00"/>
    <n v="72"/>
    <x v="0"/>
    <x v="27"/>
    <x v="1"/>
    <n v="1"/>
    <n v="25"/>
    <n v="27.5"/>
    <n v="25"/>
    <x v="1"/>
    <n v="12"/>
    <x v="2"/>
    <n v="10"/>
    <x v="5"/>
    <x v="0"/>
    <n v="-2.5"/>
    <n v="-0.1"/>
    <n v="0"/>
  </r>
  <r>
    <n v="1390"/>
    <d v="2022-10-24T00:00:00"/>
    <d v="1899-12-30T22:47:00"/>
    <n v="117"/>
    <x v="0"/>
    <x v="27"/>
    <x v="2"/>
    <n v="2"/>
    <n v="50"/>
    <n v="54"/>
    <n v="100"/>
    <x v="0"/>
    <n v="10"/>
    <x v="5"/>
    <n v="24"/>
    <x v="1"/>
    <x v="0"/>
    <n v="46"/>
    <n v="0.46"/>
    <n v="0"/>
  </r>
  <r>
    <n v="179"/>
    <d v="2023-10-07T00:00:00"/>
    <d v="1899-12-30T20:42:00"/>
    <n v="121"/>
    <x v="0"/>
    <x v="16"/>
    <x v="2"/>
    <n v="1"/>
    <n v="300"/>
    <n v="375"/>
    <n v="300"/>
    <x v="1"/>
    <n v="10"/>
    <x v="5"/>
    <n v="7"/>
    <x v="0"/>
    <x v="0"/>
    <n v="-75"/>
    <n v="-0.25"/>
    <n v="1"/>
  </r>
  <r>
    <n v="327"/>
    <d v="2023-09-13T00:00:00"/>
    <d v="1899-12-30T18:30:00"/>
    <n v="107"/>
    <x v="0"/>
    <x v="10"/>
    <x v="2"/>
    <n v="3"/>
    <n v="50"/>
    <n v="56"/>
    <n v="150"/>
    <x v="1"/>
    <n v="9"/>
    <x v="9"/>
    <n v="13"/>
    <x v="4"/>
    <x v="1"/>
    <n v="94"/>
    <n v="0.62666666699999996"/>
    <n v="1"/>
  </r>
  <r>
    <n v="626"/>
    <d v="2022-10-30T00:00:00"/>
    <d v="1899-12-30T21:01:00"/>
    <n v="65"/>
    <x v="1"/>
    <x v="6"/>
    <x v="0"/>
    <n v="4"/>
    <n v="500"/>
    <n v="555"/>
    <n v="2000"/>
    <x v="0"/>
    <n v="10"/>
    <x v="5"/>
    <n v="30"/>
    <x v="5"/>
    <x v="0"/>
    <n v="1445"/>
    <n v="0.72250000000000003"/>
    <n v="1"/>
  </r>
  <r>
    <n v="873"/>
    <d v="2023-12-06T00:00:00"/>
    <d v="1899-12-30T20:20:00"/>
    <n v="137"/>
    <x v="1"/>
    <x v="17"/>
    <x v="2"/>
    <n v="4"/>
    <n v="25"/>
    <n v="29"/>
    <n v="100"/>
    <x v="1"/>
    <n v="12"/>
    <x v="2"/>
    <n v="6"/>
    <x v="4"/>
    <x v="0"/>
    <n v="71"/>
    <n v="0.71"/>
    <n v="0"/>
  </r>
  <r>
    <n v="1179"/>
    <d v="2023-12-12T00:00:00"/>
    <d v="1899-12-30T17:28:00"/>
    <n v="122"/>
    <x v="0"/>
    <x v="16"/>
    <x v="2"/>
    <n v="1"/>
    <n v="300"/>
    <n v="354"/>
    <n v="300"/>
    <x v="1"/>
    <n v="12"/>
    <x v="2"/>
    <n v="12"/>
    <x v="6"/>
    <x v="0"/>
    <n v="-54"/>
    <n v="-0.18"/>
    <n v="1"/>
  </r>
  <r>
    <n v="1327"/>
    <d v="2023-12-23T00:00:00"/>
    <d v="1899-12-30T21:16:00"/>
    <n v="118"/>
    <x v="0"/>
    <x v="10"/>
    <x v="2"/>
    <n v="3"/>
    <n v="50"/>
    <n v="58"/>
    <n v="150"/>
    <x v="1"/>
    <n v="12"/>
    <x v="2"/>
    <n v="23"/>
    <x v="0"/>
    <x v="0"/>
    <n v="92"/>
    <n v="0.61333333300000004"/>
    <n v="1"/>
  </r>
  <r>
    <n v="1626"/>
    <d v="2022-10-10T00:00:00"/>
    <d v="1899-12-30T19:13:00"/>
    <n v="19"/>
    <x v="1"/>
    <x v="6"/>
    <x v="0"/>
    <n v="4"/>
    <n v="500"/>
    <n v="495"/>
    <n v="2000"/>
    <x v="0"/>
    <n v="10"/>
    <x v="5"/>
    <n v="10"/>
    <x v="1"/>
    <x v="0"/>
    <n v="1505"/>
    <n v="0.75249999999999995"/>
    <n v="1"/>
  </r>
  <r>
    <n v="1873"/>
    <d v="2022-11-24T00:00:00"/>
    <d v="1899-12-30T19:18:00"/>
    <n v="64"/>
    <x v="1"/>
    <x v="17"/>
    <x v="2"/>
    <n v="4"/>
    <n v="25"/>
    <n v="26.75"/>
    <n v="100"/>
    <x v="0"/>
    <n v="11"/>
    <x v="0"/>
    <n v="24"/>
    <x v="2"/>
    <x v="0"/>
    <n v="73.25"/>
    <n v="0.73250000000000004"/>
    <n v="0"/>
  </r>
  <r>
    <n v="196"/>
    <d v="2023-12-29T00:00:00"/>
    <d v="1899-12-30T19:14:00"/>
    <n v="43"/>
    <x v="1"/>
    <x v="37"/>
    <x v="0"/>
    <n v="3"/>
    <n v="300"/>
    <n v="312"/>
    <n v="900"/>
    <x v="1"/>
    <n v="12"/>
    <x v="2"/>
    <n v="29"/>
    <x v="3"/>
    <x v="0"/>
    <n v="588"/>
    <n v="0.65333333299999996"/>
    <n v="1"/>
  </r>
  <r>
    <n v="789"/>
    <d v="2023-12-06T00:00:00"/>
    <d v="1899-12-30T22:13:00"/>
    <n v="34"/>
    <x v="1"/>
    <x v="45"/>
    <x v="0"/>
    <n v="4"/>
    <n v="500"/>
    <n v="510"/>
    <n v="2000"/>
    <x v="1"/>
    <n v="12"/>
    <x v="2"/>
    <n v="6"/>
    <x v="4"/>
    <x v="0"/>
    <n v="1490"/>
    <n v="0.745"/>
    <n v="1"/>
  </r>
  <r>
    <n v="1196"/>
    <d v="2022-12-31T00:00:00"/>
    <d v="1899-12-30T21:18:00"/>
    <n v="93"/>
    <x v="1"/>
    <x v="37"/>
    <x v="0"/>
    <n v="3"/>
    <n v="300"/>
    <n v="306"/>
    <n v="900"/>
    <x v="0"/>
    <n v="12"/>
    <x v="2"/>
    <n v="31"/>
    <x v="0"/>
    <x v="0"/>
    <n v="594"/>
    <n v="0.66"/>
    <n v="1"/>
  </r>
  <r>
    <n v="1789"/>
    <d v="2023-11-10T00:00:00"/>
    <d v="1899-12-30T17:02:00"/>
    <n v="144"/>
    <x v="1"/>
    <x v="45"/>
    <x v="0"/>
    <n v="4"/>
    <n v="500"/>
    <n v="615"/>
    <n v="2000"/>
    <x v="1"/>
    <n v="11"/>
    <x v="0"/>
    <n v="10"/>
    <x v="3"/>
    <x v="0"/>
    <n v="1385"/>
    <n v="0.6925"/>
    <n v="1"/>
  </r>
  <r>
    <n v="89"/>
    <d v="2023-12-30T00:00:00"/>
    <d v="1899-12-30T21:15:00"/>
    <n v="117"/>
    <x v="1"/>
    <x v="46"/>
    <x v="2"/>
    <n v="4"/>
    <n v="500"/>
    <n v="590"/>
    <n v="2000"/>
    <x v="1"/>
    <n v="12"/>
    <x v="2"/>
    <n v="30"/>
    <x v="0"/>
    <x v="0"/>
    <n v="1410"/>
    <n v="0.70499999999999996"/>
    <n v="1"/>
  </r>
  <r>
    <n v="707"/>
    <d v="2023-10-23T00:00:00"/>
    <d v="1899-12-30T20:34:00"/>
    <n v="117"/>
    <x v="1"/>
    <x v="6"/>
    <x v="0"/>
    <n v="1"/>
    <n v="500"/>
    <n v="580"/>
    <n v="500"/>
    <x v="1"/>
    <n v="10"/>
    <x v="5"/>
    <n v="23"/>
    <x v="1"/>
    <x v="0"/>
    <n v="-80"/>
    <n v="-0.16"/>
    <n v="1"/>
  </r>
  <r>
    <n v="909"/>
    <d v="2023-10-29T00:00:00"/>
    <d v="1899-12-30T19:43:00"/>
    <n v="71"/>
    <x v="0"/>
    <x v="6"/>
    <x v="2"/>
    <n v="1"/>
    <n v="300"/>
    <n v="288"/>
    <n v="300"/>
    <x v="1"/>
    <n v="10"/>
    <x v="5"/>
    <n v="29"/>
    <x v="5"/>
    <x v="0"/>
    <n v="12"/>
    <n v="0.04"/>
    <n v="1"/>
  </r>
  <r>
    <n v="1089"/>
    <d v="2023-10-21T00:00:00"/>
    <d v="1899-12-30T18:44:00"/>
    <n v="108"/>
    <x v="1"/>
    <x v="46"/>
    <x v="2"/>
    <n v="4"/>
    <n v="500"/>
    <n v="555"/>
    <n v="2000"/>
    <x v="1"/>
    <n v="10"/>
    <x v="5"/>
    <n v="21"/>
    <x v="0"/>
    <x v="0"/>
    <n v="1445"/>
    <n v="0.72250000000000003"/>
    <n v="1"/>
  </r>
  <r>
    <n v="1707"/>
    <d v="2023-09-17T00:00:00"/>
    <d v="1899-12-30T18:35:00"/>
    <n v="144"/>
    <x v="1"/>
    <x v="6"/>
    <x v="0"/>
    <n v="1"/>
    <n v="500"/>
    <n v="535"/>
    <n v="500"/>
    <x v="1"/>
    <n v="9"/>
    <x v="9"/>
    <n v="17"/>
    <x v="5"/>
    <x v="1"/>
    <n v="-35"/>
    <n v="-7.0000000000000007E-2"/>
    <n v="1"/>
  </r>
  <r>
    <n v="1909"/>
    <d v="2022-10-22T00:00:00"/>
    <d v="1899-12-30T19:41:00"/>
    <n v="17"/>
    <x v="0"/>
    <x v="6"/>
    <x v="2"/>
    <n v="1"/>
    <n v="300"/>
    <n v="339"/>
    <n v="300"/>
    <x v="0"/>
    <n v="10"/>
    <x v="5"/>
    <n v="22"/>
    <x v="0"/>
    <x v="0"/>
    <n v="-39"/>
    <n v="-0.13"/>
    <n v="1"/>
  </r>
  <r>
    <n v="51"/>
    <d v="2022-10-12T00:00:00"/>
    <d v="1899-12-30T22:09:00"/>
    <n v="78"/>
    <x v="0"/>
    <x v="17"/>
    <x v="1"/>
    <n v="3"/>
    <n v="25"/>
    <n v="24.75"/>
    <n v="75"/>
    <x v="0"/>
    <n v="10"/>
    <x v="5"/>
    <n v="12"/>
    <x v="4"/>
    <x v="0"/>
    <n v="50.25"/>
    <n v="0.67"/>
    <n v="0"/>
  </r>
  <r>
    <n v="154"/>
    <d v="2022-12-24T00:00:00"/>
    <d v="1899-12-30T17:47:00"/>
    <n v="24"/>
    <x v="0"/>
    <x v="12"/>
    <x v="2"/>
    <n v="3"/>
    <n v="300"/>
    <n v="321"/>
    <n v="900"/>
    <x v="0"/>
    <n v="12"/>
    <x v="2"/>
    <n v="24"/>
    <x v="0"/>
    <x v="0"/>
    <n v="579"/>
    <n v="0.64333333299999995"/>
    <n v="1"/>
  </r>
  <r>
    <n v="276"/>
    <d v="2023-10-18T00:00:00"/>
    <d v="1899-12-30T21:27:00"/>
    <n v="40"/>
    <x v="1"/>
    <x v="40"/>
    <x v="1"/>
    <n v="4"/>
    <n v="25"/>
    <n v="27.5"/>
    <n v="100"/>
    <x v="1"/>
    <n v="10"/>
    <x v="5"/>
    <n v="18"/>
    <x v="4"/>
    <x v="0"/>
    <n v="72.5"/>
    <n v="0.72499999999999998"/>
    <n v="0"/>
  </r>
  <r>
    <n v="497"/>
    <d v="2023-12-31T00:00:00"/>
    <d v="1899-12-30T18:11:00"/>
    <n v="127"/>
    <x v="0"/>
    <x v="0"/>
    <x v="0"/>
    <n v="4"/>
    <n v="30"/>
    <n v="37.200000000000003"/>
    <n v="120"/>
    <x v="1"/>
    <n v="12"/>
    <x v="2"/>
    <n v="31"/>
    <x v="5"/>
    <x v="0"/>
    <n v="82.8"/>
    <n v="0.69"/>
    <n v="0"/>
  </r>
  <r>
    <n v="889"/>
    <d v="2023-09-20T00:00:00"/>
    <d v="1899-12-30T22:32:00"/>
    <n v="39"/>
    <x v="1"/>
    <x v="39"/>
    <x v="2"/>
    <n v="1"/>
    <n v="50"/>
    <n v="57.5"/>
    <n v="50"/>
    <x v="1"/>
    <n v="9"/>
    <x v="9"/>
    <n v="20"/>
    <x v="4"/>
    <x v="1"/>
    <n v="-7.5"/>
    <n v="-0.15"/>
    <n v="0"/>
  </r>
  <r>
    <n v="1051"/>
    <d v="2023-09-13T00:00:00"/>
    <d v="1899-12-30T17:47:00"/>
    <n v="104"/>
    <x v="0"/>
    <x v="17"/>
    <x v="1"/>
    <n v="3"/>
    <n v="25"/>
    <n v="25"/>
    <n v="75"/>
    <x v="1"/>
    <n v="9"/>
    <x v="9"/>
    <n v="13"/>
    <x v="4"/>
    <x v="1"/>
    <n v="50"/>
    <n v="0.66666666699999999"/>
    <n v="0"/>
  </r>
  <r>
    <n v="1154"/>
    <d v="2023-12-16T00:00:00"/>
    <d v="1899-12-30T21:44:00"/>
    <n v="29"/>
    <x v="0"/>
    <x v="12"/>
    <x v="2"/>
    <n v="3"/>
    <n v="300"/>
    <n v="291"/>
    <n v="900"/>
    <x v="1"/>
    <n v="12"/>
    <x v="2"/>
    <n v="16"/>
    <x v="0"/>
    <x v="0"/>
    <n v="609"/>
    <n v="0.676666667"/>
    <n v="1"/>
  </r>
  <r>
    <n v="1276"/>
    <d v="2022-10-11T00:00:00"/>
    <d v="1899-12-30T18:54:00"/>
    <n v="140"/>
    <x v="1"/>
    <x v="40"/>
    <x v="1"/>
    <n v="4"/>
    <n v="25"/>
    <n v="27"/>
    <n v="100"/>
    <x v="0"/>
    <n v="10"/>
    <x v="5"/>
    <n v="11"/>
    <x v="6"/>
    <x v="0"/>
    <n v="73"/>
    <n v="0.73"/>
    <n v="0"/>
  </r>
  <r>
    <n v="1497"/>
    <d v="2022-11-19T00:00:00"/>
    <d v="1899-12-30T21:44:00"/>
    <n v="109"/>
    <x v="0"/>
    <x v="0"/>
    <x v="0"/>
    <n v="4"/>
    <n v="30"/>
    <n v="32.4"/>
    <n v="120"/>
    <x v="0"/>
    <n v="11"/>
    <x v="0"/>
    <n v="19"/>
    <x v="0"/>
    <x v="0"/>
    <n v="87.6"/>
    <n v="0.73"/>
    <n v="0"/>
  </r>
  <r>
    <n v="1889"/>
    <d v="2022-09-02T00:00:00"/>
    <d v="1899-12-30T22:48:00"/>
    <n v="80"/>
    <x v="1"/>
    <x v="39"/>
    <x v="2"/>
    <n v="1"/>
    <n v="50"/>
    <n v="56"/>
    <n v="50"/>
    <x v="0"/>
    <n v="9"/>
    <x v="9"/>
    <n v="2"/>
    <x v="3"/>
    <x v="1"/>
    <n v="-6"/>
    <n v="-0.12"/>
    <n v="0"/>
  </r>
  <r>
    <n v="122"/>
    <d v="2023-12-01T00:00:00"/>
    <d v="1899-12-30T19:02:00"/>
    <n v="1"/>
    <x v="0"/>
    <x v="3"/>
    <x v="2"/>
    <n v="4"/>
    <n v="30"/>
    <n v="35.4"/>
    <n v="120"/>
    <x v="1"/>
    <n v="12"/>
    <x v="2"/>
    <n v="1"/>
    <x v="3"/>
    <x v="0"/>
    <n v="84.6"/>
    <n v="0.70499999999999996"/>
    <n v="0"/>
  </r>
  <r>
    <n v="373"/>
    <d v="2022-09-23T00:00:00"/>
    <d v="1899-12-30T22:19:00"/>
    <n v="78"/>
    <x v="1"/>
    <x v="38"/>
    <x v="1"/>
    <n v="2"/>
    <n v="300"/>
    <n v="333"/>
    <n v="600"/>
    <x v="0"/>
    <n v="9"/>
    <x v="9"/>
    <n v="23"/>
    <x v="3"/>
    <x v="1"/>
    <n v="267"/>
    <n v="0.44500000000000001"/>
    <n v="1"/>
  </r>
  <r>
    <n v="524"/>
    <d v="2023-09-17T00:00:00"/>
    <d v="1899-12-30T19:52:00"/>
    <n v="12"/>
    <x v="0"/>
    <x v="1"/>
    <x v="1"/>
    <n v="4"/>
    <n v="300"/>
    <n v="297"/>
    <n v="1200"/>
    <x v="1"/>
    <n v="9"/>
    <x v="9"/>
    <n v="17"/>
    <x v="5"/>
    <x v="1"/>
    <n v="903"/>
    <n v="0.75249999999999995"/>
    <n v="1"/>
  </r>
  <r>
    <n v="688"/>
    <d v="2023-10-28T00:00:00"/>
    <d v="1899-12-30T21:45:00"/>
    <n v="132"/>
    <x v="0"/>
    <x v="34"/>
    <x v="0"/>
    <n v="4"/>
    <n v="25"/>
    <n v="24.75"/>
    <n v="100"/>
    <x v="1"/>
    <n v="10"/>
    <x v="5"/>
    <n v="28"/>
    <x v="0"/>
    <x v="0"/>
    <n v="75.25"/>
    <n v="0.75249999999999995"/>
    <n v="0"/>
  </r>
  <r>
    <n v="813"/>
    <d v="2022-10-15T00:00:00"/>
    <d v="1899-12-30T19:51:00"/>
    <n v="125"/>
    <x v="0"/>
    <x v="41"/>
    <x v="2"/>
    <n v="3"/>
    <n v="50"/>
    <n v="62"/>
    <n v="150"/>
    <x v="0"/>
    <n v="10"/>
    <x v="5"/>
    <n v="15"/>
    <x v="0"/>
    <x v="0"/>
    <n v="88"/>
    <n v="0.58666666700000003"/>
    <n v="1"/>
  </r>
  <r>
    <n v="1122"/>
    <d v="2022-09-07T00:00:00"/>
    <d v="1899-12-30T19:53:00"/>
    <n v="138"/>
    <x v="0"/>
    <x v="3"/>
    <x v="2"/>
    <n v="4"/>
    <n v="30"/>
    <n v="31.8"/>
    <n v="120"/>
    <x v="0"/>
    <n v="9"/>
    <x v="9"/>
    <n v="7"/>
    <x v="4"/>
    <x v="1"/>
    <n v="88.2"/>
    <n v="0.73499999999999999"/>
    <n v="0"/>
  </r>
  <r>
    <n v="1373"/>
    <d v="2023-10-02T00:00:00"/>
    <d v="1899-12-30T20:26:00"/>
    <n v="64"/>
    <x v="1"/>
    <x v="38"/>
    <x v="1"/>
    <n v="2"/>
    <n v="300"/>
    <n v="294"/>
    <n v="600"/>
    <x v="1"/>
    <n v="10"/>
    <x v="5"/>
    <n v="2"/>
    <x v="1"/>
    <x v="0"/>
    <n v="306"/>
    <n v="0.51"/>
    <n v="1"/>
  </r>
  <r>
    <n v="1524"/>
    <d v="2022-10-26T00:00:00"/>
    <d v="1899-12-30T22:10:00"/>
    <n v="115"/>
    <x v="0"/>
    <x v="1"/>
    <x v="1"/>
    <n v="4"/>
    <n v="300"/>
    <n v="321"/>
    <n v="1200"/>
    <x v="0"/>
    <n v="10"/>
    <x v="5"/>
    <n v="26"/>
    <x v="4"/>
    <x v="0"/>
    <n v="879"/>
    <n v="0.73250000000000004"/>
    <n v="1"/>
  </r>
  <r>
    <n v="1688"/>
    <d v="2022-12-17T00:00:00"/>
    <d v="1899-12-30T17:25:00"/>
    <n v="150"/>
    <x v="0"/>
    <x v="34"/>
    <x v="0"/>
    <n v="4"/>
    <n v="25"/>
    <n v="26.5"/>
    <n v="100"/>
    <x v="0"/>
    <n v="12"/>
    <x v="2"/>
    <n v="17"/>
    <x v="0"/>
    <x v="0"/>
    <n v="73.5"/>
    <n v="0.73499999999999999"/>
    <n v="0"/>
  </r>
  <r>
    <n v="1813"/>
    <d v="2022-11-22T00:00:00"/>
    <d v="1899-12-30T22:24:00"/>
    <n v="86"/>
    <x v="0"/>
    <x v="41"/>
    <x v="2"/>
    <n v="3"/>
    <n v="50"/>
    <n v="61.5"/>
    <n v="150"/>
    <x v="0"/>
    <n v="11"/>
    <x v="0"/>
    <n v="22"/>
    <x v="6"/>
    <x v="0"/>
    <n v="88.5"/>
    <n v="0.59"/>
    <n v="1"/>
  </r>
  <r>
    <n v="178"/>
    <d v="2023-10-11T00:00:00"/>
    <d v="1899-12-30T17:51:00"/>
    <n v="142"/>
    <x v="0"/>
    <x v="2"/>
    <x v="0"/>
    <n v="2"/>
    <n v="30"/>
    <n v="34.200000000000003"/>
    <n v="60"/>
    <x v="1"/>
    <n v="10"/>
    <x v="5"/>
    <n v="11"/>
    <x v="4"/>
    <x v="0"/>
    <n v="25.8"/>
    <n v="0.43"/>
    <n v="0"/>
  </r>
  <r>
    <n v="208"/>
    <d v="2023-10-21T00:00:00"/>
    <d v="1899-12-30T20:56:00"/>
    <n v="144"/>
    <x v="1"/>
    <x v="23"/>
    <x v="2"/>
    <n v="4"/>
    <n v="50"/>
    <n v="57"/>
    <n v="200"/>
    <x v="1"/>
    <n v="10"/>
    <x v="5"/>
    <n v="21"/>
    <x v="0"/>
    <x v="0"/>
    <n v="143"/>
    <n v="0.71499999999999997"/>
    <n v="1"/>
  </r>
  <r>
    <n v="247"/>
    <d v="2022-12-23T00:00:00"/>
    <d v="1899-12-30T17:56:00"/>
    <n v="82"/>
    <x v="0"/>
    <x v="0"/>
    <x v="2"/>
    <n v="2"/>
    <n v="30"/>
    <n v="31.5"/>
    <n v="60"/>
    <x v="0"/>
    <n v="12"/>
    <x v="2"/>
    <n v="23"/>
    <x v="3"/>
    <x v="0"/>
    <n v="28.5"/>
    <n v="0.47499999999999998"/>
    <n v="0"/>
  </r>
  <r>
    <n v="290"/>
    <d v="2023-12-08T00:00:00"/>
    <d v="1899-12-30T21:39:00"/>
    <n v="86"/>
    <x v="1"/>
    <x v="7"/>
    <x v="1"/>
    <n v="2"/>
    <n v="300"/>
    <n v="342"/>
    <n v="600"/>
    <x v="1"/>
    <n v="12"/>
    <x v="2"/>
    <n v="8"/>
    <x v="3"/>
    <x v="0"/>
    <n v="258"/>
    <n v="0.43"/>
    <n v="1"/>
  </r>
  <r>
    <n v="656"/>
    <d v="2023-11-12T00:00:00"/>
    <d v="1899-12-30T20:58:00"/>
    <n v="27"/>
    <x v="0"/>
    <x v="33"/>
    <x v="1"/>
    <n v="3"/>
    <n v="30"/>
    <n v="29.4"/>
    <n v="90"/>
    <x v="1"/>
    <n v="11"/>
    <x v="0"/>
    <n v="12"/>
    <x v="5"/>
    <x v="0"/>
    <n v="60.6"/>
    <n v="0.67333333299999998"/>
    <n v="0"/>
  </r>
  <r>
    <n v="735"/>
    <d v="2022-11-26T00:00:00"/>
    <d v="1899-12-30T21:38:00"/>
    <n v="153"/>
    <x v="1"/>
    <x v="3"/>
    <x v="0"/>
    <n v="4"/>
    <n v="500"/>
    <n v="515"/>
    <n v="2000"/>
    <x v="0"/>
    <n v="11"/>
    <x v="0"/>
    <n v="26"/>
    <x v="0"/>
    <x v="0"/>
    <n v="1485"/>
    <n v="0.74250000000000005"/>
    <n v="1"/>
  </r>
  <r>
    <n v="1178"/>
    <d v="2023-12-29T00:00:00"/>
    <d v="1899-12-30T21:15:00"/>
    <n v="137"/>
    <x v="0"/>
    <x v="2"/>
    <x v="0"/>
    <n v="2"/>
    <n v="30"/>
    <n v="33"/>
    <n v="60"/>
    <x v="1"/>
    <n v="12"/>
    <x v="2"/>
    <n v="29"/>
    <x v="3"/>
    <x v="0"/>
    <n v="27"/>
    <n v="0.45"/>
    <n v="0"/>
  </r>
  <r>
    <n v="1208"/>
    <d v="2022-10-15T00:00:00"/>
    <d v="1899-12-30T17:44:00"/>
    <n v="9"/>
    <x v="1"/>
    <x v="23"/>
    <x v="2"/>
    <n v="4"/>
    <n v="50"/>
    <n v="47.5"/>
    <n v="200"/>
    <x v="0"/>
    <n v="10"/>
    <x v="5"/>
    <n v="15"/>
    <x v="0"/>
    <x v="0"/>
    <n v="152.5"/>
    <n v="0.76249999999999996"/>
    <n v="1"/>
  </r>
  <r>
    <n v="1247"/>
    <d v="2023-09-02T00:00:00"/>
    <d v="1899-12-30T18:17:00"/>
    <n v="78"/>
    <x v="0"/>
    <x v="0"/>
    <x v="2"/>
    <n v="2"/>
    <n v="30"/>
    <n v="35.700000000000003"/>
    <n v="60"/>
    <x v="1"/>
    <n v="9"/>
    <x v="9"/>
    <n v="2"/>
    <x v="0"/>
    <x v="1"/>
    <n v="24.3"/>
    <n v="0.40500000000000003"/>
    <n v="0"/>
  </r>
  <r>
    <n v="1290"/>
    <d v="2022-12-30T00:00:00"/>
    <d v="1899-12-30T22:40:00"/>
    <n v="66"/>
    <x v="1"/>
    <x v="7"/>
    <x v="1"/>
    <n v="2"/>
    <n v="300"/>
    <n v="318"/>
    <n v="600"/>
    <x v="0"/>
    <n v="12"/>
    <x v="2"/>
    <n v="30"/>
    <x v="3"/>
    <x v="0"/>
    <n v="282"/>
    <n v="0.47"/>
    <n v="1"/>
  </r>
  <r>
    <n v="1656"/>
    <d v="2023-09-16T00:00:00"/>
    <d v="1899-12-30T20:03:00"/>
    <n v="141"/>
    <x v="0"/>
    <x v="33"/>
    <x v="1"/>
    <n v="3"/>
    <n v="30"/>
    <n v="35.4"/>
    <n v="90"/>
    <x v="1"/>
    <n v="9"/>
    <x v="9"/>
    <n v="16"/>
    <x v="0"/>
    <x v="1"/>
    <n v="54.6"/>
    <n v="0.60666666700000005"/>
    <n v="0"/>
  </r>
  <r>
    <n v="1735"/>
    <d v="2023-09-05T00:00:00"/>
    <d v="1899-12-30T17:26:00"/>
    <n v="86"/>
    <x v="1"/>
    <x v="3"/>
    <x v="0"/>
    <n v="4"/>
    <n v="500"/>
    <n v="505"/>
    <n v="2000"/>
    <x v="1"/>
    <n v="9"/>
    <x v="9"/>
    <n v="5"/>
    <x v="6"/>
    <x v="1"/>
    <n v="1495"/>
    <n v="0.74750000000000005"/>
    <n v="1"/>
  </r>
  <r>
    <n v="319"/>
    <d v="2022-11-07T00:00:00"/>
    <d v="1899-12-30T18:50:00"/>
    <n v="145"/>
    <x v="0"/>
    <x v="16"/>
    <x v="0"/>
    <n v="1"/>
    <n v="500"/>
    <n v="500"/>
    <n v="500"/>
    <x v="0"/>
    <n v="11"/>
    <x v="0"/>
    <n v="7"/>
    <x v="1"/>
    <x v="0"/>
    <n v="0"/>
    <n v="0"/>
    <n v="1"/>
  </r>
  <r>
    <n v="670"/>
    <d v="2023-09-29T00:00:00"/>
    <d v="1899-12-30T17:24:00"/>
    <n v="59"/>
    <x v="0"/>
    <x v="17"/>
    <x v="1"/>
    <n v="1"/>
    <n v="30"/>
    <n v="35.700000000000003"/>
    <n v="30"/>
    <x v="1"/>
    <n v="9"/>
    <x v="9"/>
    <n v="29"/>
    <x v="3"/>
    <x v="1"/>
    <n v="-5.7"/>
    <n v="-0.19"/>
    <n v="0"/>
  </r>
  <r>
    <n v="1319"/>
    <d v="2023-11-25T00:00:00"/>
    <d v="1899-12-30T17:17:00"/>
    <n v="76"/>
    <x v="0"/>
    <x v="16"/>
    <x v="0"/>
    <n v="1"/>
    <n v="500"/>
    <n v="585"/>
    <n v="500"/>
    <x v="1"/>
    <n v="11"/>
    <x v="0"/>
    <n v="25"/>
    <x v="0"/>
    <x v="0"/>
    <n v="-85"/>
    <n v="-0.17"/>
    <n v="1"/>
  </r>
  <r>
    <n v="1670"/>
    <d v="2023-10-24T00:00:00"/>
    <d v="1899-12-30T21:32:00"/>
    <n v="58"/>
    <x v="0"/>
    <x v="17"/>
    <x v="1"/>
    <n v="1"/>
    <n v="30"/>
    <n v="34.200000000000003"/>
    <n v="30"/>
    <x v="1"/>
    <n v="10"/>
    <x v="5"/>
    <n v="24"/>
    <x v="6"/>
    <x v="0"/>
    <n v="-4.2"/>
    <n v="-0.14000000000000001"/>
    <n v="0"/>
  </r>
  <r>
    <n v="385"/>
    <d v="2022-11-20T00:00:00"/>
    <d v="1899-12-30T19:06:00"/>
    <n v="127"/>
    <x v="0"/>
    <x v="20"/>
    <x v="2"/>
    <n v="3"/>
    <n v="500"/>
    <n v="525"/>
    <n v="1500"/>
    <x v="0"/>
    <n v="11"/>
    <x v="0"/>
    <n v="20"/>
    <x v="5"/>
    <x v="0"/>
    <n v="975"/>
    <n v="0.65"/>
    <n v="1"/>
  </r>
  <r>
    <n v="1385"/>
    <d v="2023-11-07T00:00:00"/>
    <d v="1899-12-30T19:22:00"/>
    <n v="55"/>
    <x v="0"/>
    <x v="20"/>
    <x v="2"/>
    <n v="3"/>
    <n v="500"/>
    <n v="505"/>
    <n v="1500"/>
    <x v="1"/>
    <n v="11"/>
    <x v="0"/>
    <n v="7"/>
    <x v="6"/>
    <x v="0"/>
    <n v="995"/>
    <n v="0.66333333299999997"/>
    <n v="1"/>
  </r>
  <r>
    <n v="10"/>
    <d v="2022-10-24T00:00:00"/>
    <d v="1899-12-30T22:55:00"/>
    <n v="81"/>
    <x v="1"/>
    <x v="41"/>
    <x v="0"/>
    <n v="4"/>
    <n v="50"/>
    <n v="62.5"/>
    <n v="200"/>
    <x v="0"/>
    <n v="10"/>
    <x v="5"/>
    <n v="24"/>
    <x v="1"/>
    <x v="0"/>
    <n v="137.5"/>
    <n v="0.6875"/>
    <n v="1"/>
  </r>
  <r>
    <n v="26"/>
    <d v="2023-10-14T00:00:00"/>
    <d v="1899-12-30T17:54:00"/>
    <n v="51"/>
    <x v="1"/>
    <x v="32"/>
    <x v="2"/>
    <n v="2"/>
    <n v="500"/>
    <n v="600"/>
    <n v="1000"/>
    <x v="1"/>
    <n v="10"/>
    <x v="5"/>
    <n v="14"/>
    <x v="0"/>
    <x v="0"/>
    <n v="400"/>
    <n v="0.4"/>
    <n v="1"/>
  </r>
  <r>
    <n v="437"/>
    <d v="2023-11-26T00:00:00"/>
    <d v="1899-12-30T18:53:00"/>
    <n v="56"/>
    <x v="1"/>
    <x v="39"/>
    <x v="2"/>
    <n v="4"/>
    <n v="300"/>
    <n v="345"/>
    <n v="1200"/>
    <x v="1"/>
    <n v="11"/>
    <x v="0"/>
    <n v="26"/>
    <x v="5"/>
    <x v="0"/>
    <n v="855"/>
    <n v="0.71250000000000002"/>
    <n v="1"/>
  </r>
  <r>
    <n v="689"/>
    <d v="2022-10-16T00:00:00"/>
    <d v="1899-12-30T20:17:00"/>
    <n v="55"/>
    <x v="0"/>
    <x v="10"/>
    <x v="2"/>
    <n v="2"/>
    <n v="50"/>
    <n v="52.5"/>
    <n v="100"/>
    <x v="0"/>
    <n v="10"/>
    <x v="5"/>
    <n v="16"/>
    <x v="5"/>
    <x v="0"/>
    <n v="47.5"/>
    <n v="0.47499999999999998"/>
    <n v="0"/>
  </r>
  <r>
    <n v="1010"/>
    <d v="2022-10-21T00:00:00"/>
    <d v="1899-12-30T22:11:00"/>
    <n v="65"/>
    <x v="1"/>
    <x v="41"/>
    <x v="0"/>
    <n v="4"/>
    <n v="50"/>
    <n v="54.5"/>
    <n v="200"/>
    <x v="0"/>
    <n v="10"/>
    <x v="5"/>
    <n v="21"/>
    <x v="3"/>
    <x v="0"/>
    <n v="145.5"/>
    <n v="0.72750000000000004"/>
    <n v="1"/>
  </r>
  <r>
    <n v="1026"/>
    <d v="2022-11-24T00:00:00"/>
    <d v="1899-12-30T19:10:00"/>
    <n v="60"/>
    <x v="1"/>
    <x v="32"/>
    <x v="2"/>
    <n v="2"/>
    <n v="500"/>
    <n v="520"/>
    <n v="1000"/>
    <x v="0"/>
    <n v="11"/>
    <x v="0"/>
    <n v="24"/>
    <x v="2"/>
    <x v="0"/>
    <n v="480"/>
    <n v="0.48"/>
    <n v="1"/>
  </r>
  <r>
    <n v="1437"/>
    <d v="2023-09-04T00:00:00"/>
    <d v="1899-12-30T19:19:00"/>
    <n v="76"/>
    <x v="1"/>
    <x v="39"/>
    <x v="2"/>
    <n v="4"/>
    <n v="300"/>
    <n v="372"/>
    <n v="1200"/>
    <x v="1"/>
    <n v="9"/>
    <x v="9"/>
    <n v="4"/>
    <x v="1"/>
    <x v="1"/>
    <n v="828"/>
    <n v="0.69"/>
    <n v="1"/>
  </r>
  <r>
    <n v="1689"/>
    <d v="2023-12-19T00:00:00"/>
    <d v="1899-12-30T20:54:00"/>
    <n v="114"/>
    <x v="0"/>
    <x v="10"/>
    <x v="2"/>
    <n v="2"/>
    <n v="50"/>
    <n v="47.5"/>
    <n v="100"/>
    <x v="1"/>
    <n v="12"/>
    <x v="2"/>
    <n v="19"/>
    <x v="6"/>
    <x v="0"/>
    <n v="52.5"/>
    <n v="0.52500000000000002"/>
    <n v="0"/>
  </r>
  <r>
    <n v="558"/>
    <d v="2023-10-26T00:00:00"/>
    <d v="1899-12-30T17:47:00"/>
    <n v="108"/>
    <x v="1"/>
    <x v="0"/>
    <x v="0"/>
    <n v="1"/>
    <n v="25"/>
    <n v="26"/>
    <n v="25"/>
    <x v="1"/>
    <n v="10"/>
    <x v="5"/>
    <n v="26"/>
    <x v="2"/>
    <x v="0"/>
    <n v="-1"/>
    <n v="-0.04"/>
    <n v="0"/>
  </r>
  <r>
    <n v="634"/>
    <d v="2022-10-10T00:00:00"/>
    <d v="1899-12-30T19:25:00"/>
    <n v="68"/>
    <x v="0"/>
    <x v="13"/>
    <x v="2"/>
    <n v="4"/>
    <n v="500"/>
    <n v="535"/>
    <n v="2000"/>
    <x v="0"/>
    <n v="10"/>
    <x v="5"/>
    <n v="10"/>
    <x v="1"/>
    <x v="0"/>
    <n v="1465"/>
    <n v="0.73250000000000004"/>
    <n v="1"/>
  </r>
  <r>
    <n v="1558"/>
    <d v="2022-12-22T00:00:00"/>
    <d v="1899-12-30T20:37:00"/>
    <n v="91"/>
    <x v="1"/>
    <x v="0"/>
    <x v="0"/>
    <n v="1"/>
    <n v="25"/>
    <n v="27.75"/>
    <n v="25"/>
    <x v="0"/>
    <n v="12"/>
    <x v="2"/>
    <n v="22"/>
    <x v="2"/>
    <x v="0"/>
    <n v="-2.75"/>
    <n v="-0.11"/>
    <n v="0"/>
  </r>
  <r>
    <n v="1634"/>
    <d v="2023-11-03T00:00:00"/>
    <d v="1899-12-30T17:18:00"/>
    <n v="90"/>
    <x v="0"/>
    <x v="13"/>
    <x v="2"/>
    <n v="4"/>
    <n v="500"/>
    <n v="520"/>
    <n v="2000"/>
    <x v="1"/>
    <n v="11"/>
    <x v="0"/>
    <n v="3"/>
    <x v="3"/>
    <x v="0"/>
    <n v="1480"/>
    <n v="0.74"/>
    <n v="1"/>
  </r>
  <r>
    <n v="201"/>
    <d v="2022-10-13T00:00:00"/>
    <d v="1899-12-30T19:08:00"/>
    <n v="105"/>
    <x v="0"/>
    <x v="34"/>
    <x v="2"/>
    <n v="1"/>
    <n v="25"/>
    <n v="29.75"/>
    <n v="25"/>
    <x v="0"/>
    <n v="10"/>
    <x v="5"/>
    <n v="13"/>
    <x v="2"/>
    <x v="0"/>
    <n v="-4.75"/>
    <n v="-0.19"/>
    <n v="0"/>
  </r>
  <r>
    <n v="286"/>
    <d v="2022-10-05T00:00:00"/>
    <d v="1899-12-30T22:56:00"/>
    <n v="92"/>
    <x v="0"/>
    <x v="46"/>
    <x v="2"/>
    <n v="2"/>
    <n v="25"/>
    <n v="27.75"/>
    <n v="50"/>
    <x v="0"/>
    <n v="10"/>
    <x v="5"/>
    <n v="5"/>
    <x v="4"/>
    <x v="0"/>
    <n v="22.25"/>
    <n v="0.44500000000000001"/>
    <n v="0"/>
  </r>
  <r>
    <n v="876"/>
    <d v="2023-10-03T00:00:00"/>
    <d v="1899-12-30T19:39:00"/>
    <n v="104"/>
    <x v="0"/>
    <x v="22"/>
    <x v="0"/>
    <n v="4"/>
    <n v="30"/>
    <n v="30"/>
    <n v="120"/>
    <x v="1"/>
    <n v="10"/>
    <x v="5"/>
    <n v="3"/>
    <x v="6"/>
    <x v="0"/>
    <n v="90"/>
    <n v="0.75"/>
    <n v="0"/>
  </r>
  <r>
    <n v="1201"/>
    <d v="2023-10-31T00:00:00"/>
    <d v="1899-12-30T17:28:00"/>
    <n v="115"/>
    <x v="0"/>
    <x v="34"/>
    <x v="2"/>
    <n v="1"/>
    <n v="25"/>
    <n v="27.75"/>
    <n v="25"/>
    <x v="1"/>
    <n v="10"/>
    <x v="5"/>
    <n v="31"/>
    <x v="6"/>
    <x v="0"/>
    <n v="-2.75"/>
    <n v="-0.11"/>
    <n v="0"/>
  </r>
  <r>
    <n v="1286"/>
    <d v="2022-12-26T00:00:00"/>
    <d v="1899-12-30T17:23:00"/>
    <n v="111"/>
    <x v="0"/>
    <x v="46"/>
    <x v="2"/>
    <n v="2"/>
    <n v="25"/>
    <n v="28.5"/>
    <n v="50"/>
    <x v="0"/>
    <n v="12"/>
    <x v="2"/>
    <n v="26"/>
    <x v="1"/>
    <x v="0"/>
    <n v="21.5"/>
    <n v="0.43"/>
    <n v="0"/>
  </r>
  <r>
    <n v="1876"/>
    <d v="2023-11-05T00:00:00"/>
    <d v="1899-12-30T19:53:00"/>
    <n v="68"/>
    <x v="0"/>
    <x v="22"/>
    <x v="0"/>
    <n v="4"/>
    <n v="30"/>
    <n v="32.1"/>
    <n v="120"/>
    <x v="1"/>
    <n v="11"/>
    <x v="0"/>
    <n v="5"/>
    <x v="5"/>
    <x v="0"/>
    <n v="87.9"/>
    <n v="0.73250000000000004"/>
    <n v="0"/>
  </r>
  <r>
    <n v="55"/>
    <d v="2023-09-28T00:00:00"/>
    <d v="1899-12-30T20:32:00"/>
    <n v="57"/>
    <x v="0"/>
    <x v="16"/>
    <x v="1"/>
    <n v="4"/>
    <n v="30"/>
    <n v="31.8"/>
    <n v="120"/>
    <x v="1"/>
    <n v="9"/>
    <x v="9"/>
    <n v="28"/>
    <x v="2"/>
    <x v="1"/>
    <n v="88.2"/>
    <n v="0.73499999999999999"/>
    <n v="0"/>
  </r>
  <r>
    <n v="428"/>
    <d v="2022-12-02T00:00:00"/>
    <d v="1899-12-30T22:44:00"/>
    <n v="50"/>
    <x v="1"/>
    <x v="2"/>
    <x v="2"/>
    <n v="4"/>
    <n v="50"/>
    <n v="49.5"/>
    <n v="200"/>
    <x v="0"/>
    <n v="12"/>
    <x v="2"/>
    <n v="2"/>
    <x v="3"/>
    <x v="0"/>
    <n v="150.5"/>
    <n v="0.75249999999999995"/>
    <n v="1"/>
  </r>
  <r>
    <n v="441"/>
    <d v="2023-11-06T00:00:00"/>
    <d v="1899-12-30T22:00:00"/>
    <n v="85"/>
    <x v="0"/>
    <x v="10"/>
    <x v="1"/>
    <n v="4"/>
    <n v="300"/>
    <n v="351"/>
    <n v="1200"/>
    <x v="1"/>
    <n v="11"/>
    <x v="0"/>
    <n v="6"/>
    <x v="1"/>
    <x v="0"/>
    <n v="849"/>
    <n v="0.70750000000000002"/>
    <n v="1"/>
  </r>
  <r>
    <n v="976"/>
    <d v="2023-10-08T00:00:00"/>
    <d v="1899-12-30T19:50:00"/>
    <n v="56"/>
    <x v="1"/>
    <x v="42"/>
    <x v="1"/>
    <n v="2"/>
    <n v="300"/>
    <n v="345"/>
    <n v="600"/>
    <x v="1"/>
    <n v="10"/>
    <x v="5"/>
    <n v="8"/>
    <x v="5"/>
    <x v="0"/>
    <n v="255"/>
    <n v="0.42499999999999999"/>
    <n v="1"/>
  </r>
  <r>
    <n v="1055"/>
    <d v="2022-10-23T00:00:00"/>
    <d v="1899-12-30T21:35:00"/>
    <n v="97"/>
    <x v="0"/>
    <x v="16"/>
    <x v="1"/>
    <n v="4"/>
    <n v="30"/>
    <n v="37.5"/>
    <n v="120"/>
    <x v="0"/>
    <n v="10"/>
    <x v="5"/>
    <n v="23"/>
    <x v="5"/>
    <x v="0"/>
    <n v="82.5"/>
    <n v="0.6875"/>
    <n v="0"/>
  </r>
  <r>
    <n v="1428"/>
    <d v="2023-09-09T00:00:00"/>
    <d v="1899-12-30T18:44:00"/>
    <n v="96"/>
    <x v="1"/>
    <x v="2"/>
    <x v="2"/>
    <n v="4"/>
    <n v="50"/>
    <n v="57"/>
    <n v="200"/>
    <x v="1"/>
    <n v="9"/>
    <x v="9"/>
    <n v="9"/>
    <x v="0"/>
    <x v="1"/>
    <n v="143"/>
    <n v="0.71499999999999997"/>
    <n v="1"/>
  </r>
  <r>
    <n v="1441"/>
    <d v="2023-10-04T00:00:00"/>
    <d v="1899-12-30T21:38:00"/>
    <n v="63"/>
    <x v="0"/>
    <x v="10"/>
    <x v="1"/>
    <n v="4"/>
    <n v="300"/>
    <n v="354"/>
    <n v="1200"/>
    <x v="1"/>
    <n v="10"/>
    <x v="5"/>
    <n v="4"/>
    <x v="4"/>
    <x v="0"/>
    <n v="846"/>
    <n v="0.70499999999999996"/>
    <n v="1"/>
  </r>
  <r>
    <n v="1976"/>
    <d v="2023-10-15T00:00:00"/>
    <d v="1899-12-30T21:10:00"/>
    <n v="108"/>
    <x v="1"/>
    <x v="42"/>
    <x v="1"/>
    <n v="2"/>
    <n v="300"/>
    <n v="360"/>
    <n v="600"/>
    <x v="1"/>
    <n v="10"/>
    <x v="5"/>
    <n v="15"/>
    <x v="5"/>
    <x v="0"/>
    <n v="240"/>
    <n v="0.4"/>
    <n v="1"/>
  </r>
  <r>
    <n v="149"/>
    <d v="2023-10-14T00:00:00"/>
    <d v="1899-12-30T17:52:00"/>
    <n v="73"/>
    <x v="0"/>
    <x v="30"/>
    <x v="0"/>
    <n v="3"/>
    <n v="25"/>
    <n v="27"/>
    <n v="75"/>
    <x v="1"/>
    <n v="10"/>
    <x v="5"/>
    <n v="14"/>
    <x v="0"/>
    <x v="0"/>
    <n v="48"/>
    <n v="0.64"/>
    <n v="0"/>
  </r>
  <r>
    <n v="227"/>
    <d v="2023-11-15T00:00:00"/>
    <d v="1899-12-30T19:19:00"/>
    <n v="87"/>
    <x v="0"/>
    <x v="31"/>
    <x v="2"/>
    <n v="2"/>
    <n v="50"/>
    <n v="50.5"/>
    <n v="100"/>
    <x v="1"/>
    <n v="11"/>
    <x v="0"/>
    <n v="15"/>
    <x v="4"/>
    <x v="0"/>
    <n v="49.5"/>
    <n v="0.495"/>
    <n v="0"/>
  </r>
  <r>
    <n v="393"/>
    <d v="2022-10-19T00:00:00"/>
    <d v="1899-12-30T18:52:00"/>
    <n v="85"/>
    <x v="1"/>
    <x v="30"/>
    <x v="1"/>
    <n v="2"/>
    <n v="500"/>
    <n v="595"/>
    <n v="1000"/>
    <x v="0"/>
    <n v="10"/>
    <x v="5"/>
    <n v="19"/>
    <x v="4"/>
    <x v="0"/>
    <n v="405"/>
    <n v="0.40500000000000003"/>
    <n v="1"/>
  </r>
  <r>
    <n v="401"/>
    <d v="2023-12-03T00:00:00"/>
    <d v="1899-12-30T19:03:00"/>
    <n v="51"/>
    <x v="1"/>
    <x v="44"/>
    <x v="0"/>
    <n v="1"/>
    <n v="300"/>
    <n v="372"/>
    <n v="300"/>
    <x v="1"/>
    <n v="12"/>
    <x v="2"/>
    <n v="3"/>
    <x v="5"/>
    <x v="0"/>
    <n v="-72"/>
    <n v="-0.24"/>
    <n v="1"/>
  </r>
  <r>
    <n v="546"/>
    <d v="2022-12-30T00:00:00"/>
    <d v="1899-12-30T22:32:00"/>
    <n v="57"/>
    <x v="1"/>
    <x v="31"/>
    <x v="2"/>
    <n v="4"/>
    <n v="50"/>
    <n v="53.5"/>
    <n v="200"/>
    <x v="0"/>
    <n v="12"/>
    <x v="2"/>
    <n v="30"/>
    <x v="3"/>
    <x v="0"/>
    <n v="146.5"/>
    <n v="0.73250000000000004"/>
    <n v="1"/>
  </r>
  <r>
    <n v="872"/>
    <d v="2023-12-10T00:00:00"/>
    <d v="1899-12-30T22:18:00"/>
    <n v="113"/>
    <x v="1"/>
    <x v="15"/>
    <x v="1"/>
    <n v="3"/>
    <n v="25"/>
    <n v="24.75"/>
    <n v="75"/>
    <x v="1"/>
    <n v="12"/>
    <x v="2"/>
    <n v="10"/>
    <x v="5"/>
    <x v="0"/>
    <n v="50.25"/>
    <n v="0.67"/>
    <n v="0"/>
  </r>
  <r>
    <n v="914"/>
    <d v="2022-09-07T00:00:00"/>
    <d v="1899-12-30T22:25:00"/>
    <n v="83"/>
    <x v="1"/>
    <x v="26"/>
    <x v="2"/>
    <n v="1"/>
    <n v="500"/>
    <n v="510"/>
    <n v="500"/>
    <x v="0"/>
    <n v="9"/>
    <x v="9"/>
    <n v="7"/>
    <x v="4"/>
    <x v="1"/>
    <n v="-10"/>
    <n v="-0.02"/>
    <n v="1"/>
  </r>
  <r>
    <n v="1149"/>
    <d v="2023-09-14T00:00:00"/>
    <d v="1899-12-30T19:23:00"/>
    <n v="98"/>
    <x v="0"/>
    <x v="30"/>
    <x v="0"/>
    <n v="3"/>
    <n v="25"/>
    <n v="29.75"/>
    <n v="75"/>
    <x v="1"/>
    <n v="9"/>
    <x v="9"/>
    <n v="14"/>
    <x v="2"/>
    <x v="1"/>
    <n v="45.25"/>
    <n v="0.60333333300000003"/>
    <n v="0"/>
  </r>
  <r>
    <n v="1227"/>
    <d v="2023-10-01T00:00:00"/>
    <d v="1899-12-30T20:09:00"/>
    <n v="103"/>
    <x v="0"/>
    <x v="31"/>
    <x v="2"/>
    <n v="2"/>
    <n v="50"/>
    <n v="47.5"/>
    <n v="100"/>
    <x v="1"/>
    <n v="10"/>
    <x v="5"/>
    <n v="1"/>
    <x v="5"/>
    <x v="0"/>
    <n v="52.5"/>
    <n v="0.52500000000000002"/>
    <n v="0"/>
  </r>
  <r>
    <n v="1393"/>
    <d v="2022-10-08T00:00:00"/>
    <d v="1899-12-30T17:24:00"/>
    <n v="56"/>
    <x v="1"/>
    <x v="30"/>
    <x v="1"/>
    <n v="2"/>
    <n v="500"/>
    <n v="580"/>
    <n v="1000"/>
    <x v="0"/>
    <n v="10"/>
    <x v="5"/>
    <n v="8"/>
    <x v="0"/>
    <x v="0"/>
    <n v="420"/>
    <n v="0.42"/>
    <n v="1"/>
  </r>
  <r>
    <n v="1401"/>
    <d v="2022-10-01T00:00:00"/>
    <d v="1899-12-30T21:20:00"/>
    <n v="85"/>
    <x v="1"/>
    <x v="44"/>
    <x v="0"/>
    <n v="1"/>
    <n v="300"/>
    <n v="294"/>
    <n v="300"/>
    <x v="0"/>
    <n v="10"/>
    <x v="5"/>
    <n v="1"/>
    <x v="0"/>
    <x v="0"/>
    <n v="6"/>
    <n v="0.02"/>
    <n v="1"/>
  </r>
  <r>
    <n v="1546"/>
    <d v="2022-12-18T00:00:00"/>
    <d v="1899-12-30T19:06:00"/>
    <n v="93"/>
    <x v="1"/>
    <x v="31"/>
    <x v="2"/>
    <n v="4"/>
    <n v="50"/>
    <n v="48"/>
    <n v="200"/>
    <x v="0"/>
    <n v="12"/>
    <x v="2"/>
    <n v="18"/>
    <x v="5"/>
    <x v="0"/>
    <n v="152"/>
    <n v="0.76"/>
    <n v="1"/>
  </r>
  <r>
    <n v="1872"/>
    <d v="2022-11-22T00:00:00"/>
    <d v="1899-12-30T17:02:00"/>
    <n v="57"/>
    <x v="1"/>
    <x v="15"/>
    <x v="1"/>
    <n v="3"/>
    <n v="25"/>
    <n v="26.25"/>
    <n v="75"/>
    <x v="0"/>
    <n v="11"/>
    <x v="0"/>
    <n v="22"/>
    <x v="6"/>
    <x v="0"/>
    <n v="48.75"/>
    <n v="0.65"/>
    <n v="0"/>
  </r>
  <r>
    <n v="1914"/>
    <d v="2023-11-05T00:00:00"/>
    <d v="1899-12-30T17:49:00"/>
    <n v="70"/>
    <x v="1"/>
    <x v="26"/>
    <x v="2"/>
    <n v="1"/>
    <n v="500"/>
    <n v="510"/>
    <n v="500"/>
    <x v="1"/>
    <n v="11"/>
    <x v="0"/>
    <n v="5"/>
    <x v="5"/>
    <x v="0"/>
    <n v="-10"/>
    <n v="-0.02"/>
    <n v="1"/>
  </r>
  <r>
    <n v="310"/>
    <d v="2022-11-10T00:00:00"/>
    <d v="1899-12-30T21:34:00"/>
    <n v="76"/>
    <x v="1"/>
    <x v="32"/>
    <x v="1"/>
    <n v="1"/>
    <n v="25"/>
    <n v="31"/>
    <n v="25"/>
    <x v="0"/>
    <n v="11"/>
    <x v="0"/>
    <n v="10"/>
    <x v="2"/>
    <x v="0"/>
    <n v="-6"/>
    <n v="-0.24"/>
    <n v="0"/>
  </r>
  <r>
    <n v="844"/>
    <d v="2023-10-09T00:00:00"/>
    <d v="1899-12-30T17:54:00"/>
    <n v="95"/>
    <x v="0"/>
    <x v="39"/>
    <x v="0"/>
    <n v="3"/>
    <n v="50"/>
    <n v="62"/>
    <n v="150"/>
    <x v="1"/>
    <n v="10"/>
    <x v="5"/>
    <n v="9"/>
    <x v="1"/>
    <x v="0"/>
    <n v="88"/>
    <n v="0.58666666700000003"/>
    <n v="1"/>
  </r>
  <r>
    <n v="852"/>
    <d v="2022-10-01T00:00:00"/>
    <d v="1899-12-30T19:35:00"/>
    <n v="82"/>
    <x v="1"/>
    <x v="0"/>
    <x v="0"/>
    <n v="1"/>
    <n v="300"/>
    <n v="375"/>
    <n v="300"/>
    <x v="0"/>
    <n v="10"/>
    <x v="5"/>
    <n v="1"/>
    <x v="0"/>
    <x v="0"/>
    <n v="-75"/>
    <n v="-0.25"/>
    <n v="1"/>
  </r>
  <r>
    <n v="1310"/>
    <d v="2022-10-29T00:00:00"/>
    <d v="1899-12-30T21:31:00"/>
    <n v="74"/>
    <x v="1"/>
    <x v="32"/>
    <x v="1"/>
    <n v="1"/>
    <n v="25"/>
    <n v="24.75"/>
    <n v="25"/>
    <x v="0"/>
    <n v="10"/>
    <x v="5"/>
    <n v="29"/>
    <x v="0"/>
    <x v="0"/>
    <n v="0.25"/>
    <n v="0.01"/>
    <n v="0"/>
  </r>
  <r>
    <n v="1844"/>
    <d v="2022-10-25T00:00:00"/>
    <d v="1899-12-30T20:30:00"/>
    <n v="70"/>
    <x v="0"/>
    <x v="39"/>
    <x v="0"/>
    <n v="3"/>
    <n v="50"/>
    <n v="50.5"/>
    <n v="150"/>
    <x v="0"/>
    <n v="10"/>
    <x v="5"/>
    <n v="25"/>
    <x v="6"/>
    <x v="0"/>
    <n v="99.5"/>
    <n v="0.66333333299999997"/>
    <n v="1"/>
  </r>
  <r>
    <n v="1852"/>
    <d v="2023-10-11T00:00:00"/>
    <d v="1899-12-30T18:09:00"/>
    <n v="109"/>
    <x v="1"/>
    <x v="0"/>
    <x v="0"/>
    <n v="1"/>
    <n v="300"/>
    <n v="333"/>
    <n v="300"/>
    <x v="1"/>
    <n v="10"/>
    <x v="5"/>
    <n v="11"/>
    <x v="4"/>
    <x v="0"/>
    <n v="-33"/>
    <n v="-0.11"/>
    <n v="1"/>
  </r>
  <r>
    <n v="97"/>
    <d v="2022-11-26T00:00:00"/>
    <d v="1899-12-30T18:17:00"/>
    <n v="112"/>
    <x v="1"/>
    <x v="12"/>
    <x v="1"/>
    <n v="2"/>
    <n v="500"/>
    <n v="555"/>
    <n v="1000"/>
    <x v="0"/>
    <n v="11"/>
    <x v="0"/>
    <n v="26"/>
    <x v="0"/>
    <x v="0"/>
    <n v="445"/>
    <n v="0.44500000000000001"/>
    <n v="1"/>
  </r>
  <r>
    <n v="619"/>
    <d v="2023-10-09T00:00:00"/>
    <d v="1899-12-30T18:10:00"/>
    <n v="56"/>
    <x v="0"/>
    <x v="35"/>
    <x v="2"/>
    <n v="4"/>
    <n v="25"/>
    <n v="26.25"/>
    <n v="100"/>
    <x v="1"/>
    <n v="10"/>
    <x v="5"/>
    <n v="9"/>
    <x v="1"/>
    <x v="0"/>
    <n v="73.75"/>
    <n v="0.73750000000000004"/>
    <n v="0"/>
  </r>
  <r>
    <n v="948"/>
    <d v="2023-12-10T00:00:00"/>
    <d v="1899-12-30T22:06:00"/>
    <n v="52"/>
    <x v="1"/>
    <x v="8"/>
    <x v="2"/>
    <n v="3"/>
    <n v="25"/>
    <n v="28.75"/>
    <n v="75"/>
    <x v="1"/>
    <n v="12"/>
    <x v="2"/>
    <n v="10"/>
    <x v="5"/>
    <x v="0"/>
    <n v="46.25"/>
    <n v="0.61666666699999995"/>
    <n v="0"/>
  </r>
  <r>
    <n v="1097"/>
    <d v="2022-12-26T00:00:00"/>
    <d v="1899-12-30T20:53:00"/>
    <n v="86"/>
    <x v="1"/>
    <x v="12"/>
    <x v="1"/>
    <n v="2"/>
    <n v="500"/>
    <n v="485"/>
    <n v="1000"/>
    <x v="0"/>
    <n v="12"/>
    <x v="2"/>
    <n v="26"/>
    <x v="1"/>
    <x v="0"/>
    <n v="515"/>
    <n v="0.51500000000000001"/>
    <n v="1"/>
  </r>
  <r>
    <n v="1619"/>
    <d v="2022-10-20T00:00:00"/>
    <d v="1899-12-30T18:07:00"/>
    <n v="61"/>
    <x v="0"/>
    <x v="35"/>
    <x v="2"/>
    <n v="4"/>
    <n v="25"/>
    <n v="24.25"/>
    <n v="100"/>
    <x v="0"/>
    <n v="10"/>
    <x v="5"/>
    <n v="20"/>
    <x v="2"/>
    <x v="0"/>
    <n v="75.75"/>
    <n v="0.75749999999999995"/>
    <n v="0"/>
  </r>
  <r>
    <n v="1948"/>
    <d v="2023-09-17T00:00:00"/>
    <d v="1899-12-30T21:09:00"/>
    <n v="100"/>
    <x v="1"/>
    <x v="8"/>
    <x v="2"/>
    <n v="3"/>
    <n v="25"/>
    <n v="24.5"/>
    <n v="75"/>
    <x v="1"/>
    <n v="9"/>
    <x v="9"/>
    <n v="17"/>
    <x v="5"/>
    <x v="1"/>
    <n v="50.5"/>
    <n v="0.67333333299999998"/>
    <n v="0"/>
  </r>
  <r>
    <n v="456"/>
    <d v="2023-12-15T00:00:00"/>
    <d v="1899-12-30T19:45:00"/>
    <n v="51"/>
    <x v="0"/>
    <x v="10"/>
    <x v="2"/>
    <n v="2"/>
    <n v="30"/>
    <n v="33.9"/>
    <n v="60"/>
    <x v="1"/>
    <n v="12"/>
    <x v="2"/>
    <n v="15"/>
    <x v="3"/>
    <x v="0"/>
    <n v="26.1"/>
    <n v="0.435"/>
    <n v="0"/>
  </r>
  <r>
    <n v="627"/>
    <d v="2022-10-24T00:00:00"/>
    <d v="1899-12-30T18:14:00"/>
    <n v="79"/>
    <x v="0"/>
    <x v="10"/>
    <x v="0"/>
    <n v="1"/>
    <n v="50"/>
    <n v="55.5"/>
    <n v="50"/>
    <x v="0"/>
    <n v="10"/>
    <x v="5"/>
    <n v="24"/>
    <x v="1"/>
    <x v="0"/>
    <n v="-5.5"/>
    <n v="-0.11"/>
    <n v="0"/>
  </r>
  <r>
    <n v="1456"/>
    <d v="2022-09-02T00:00:00"/>
    <d v="1899-12-30T18:49:00"/>
    <n v="85"/>
    <x v="0"/>
    <x v="10"/>
    <x v="2"/>
    <n v="2"/>
    <n v="30"/>
    <n v="37.200000000000003"/>
    <n v="60"/>
    <x v="0"/>
    <n v="9"/>
    <x v="9"/>
    <n v="2"/>
    <x v="3"/>
    <x v="1"/>
    <n v="22.8"/>
    <n v="0.38"/>
    <n v="0"/>
  </r>
  <r>
    <n v="1627"/>
    <d v="2022-11-18T00:00:00"/>
    <d v="1899-12-30T17:21:00"/>
    <n v="84"/>
    <x v="0"/>
    <x v="10"/>
    <x v="0"/>
    <n v="1"/>
    <n v="50"/>
    <n v="60"/>
    <n v="50"/>
    <x v="0"/>
    <n v="11"/>
    <x v="0"/>
    <n v="18"/>
    <x v="3"/>
    <x v="0"/>
    <n v="-10"/>
    <n v="-0.2"/>
    <n v="0"/>
  </r>
  <r>
    <n v="22"/>
    <d v="2023-11-25T00:00:00"/>
    <d v="1899-12-30T17:11:00"/>
    <n v="66"/>
    <x v="0"/>
    <x v="18"/>
    <x v="0"/>
    <n v="2"/>
    <n v="50"/>
    <n v="60.5"/>
    <n v="100"/>
    <x v="1"/>
    <n v="11"/>
    <x v="0"/>
    <n v="25"/>
    <x v="0"/>
    <x v="0"/>
    <n v="39.5"/>
    <n v="0.39500000000000002"/>
    <n v="0"/>
  </r>
  <r>
    <n v="121"/>
    <d v="2023-10-07T00:00:00"/>
    <d v="1899-12-30T18:57:00"/>
    <n v="110"/>
    <x v="1"/>
    <x v="32"/>
    <x v="2"/>
    <n v="4"/>
    <n v="50"/>
    <n v="54.5"/>
    <n v="200"/>
    <x v="1"/>
    <n v="10"/>
    <x v="5"/>
    <n v="7"/>
    <x v="0"/>
    <x v="0"/>
    <n v="145.5"/>
    <n v="0.72750000000000004"/>
    <n v="1"/>
  </r>
  <r>
    <n v="431"/>
    <d v="2022-10-29T00:00:00"/>
    <d v="1899-12-30T22:02:00"/>
    <n v="99"/>
    <x v="0"/>
    <x v="15"/>
    <x v="2"/>
    <n v="4"/>
    <n v="300"/>
    <n v="345"/>
    <n v="1200"/>
    <x v="0"/>
    <n v="10"/>
    <x v="5"/>
    <n v="29"/>
    <x v="0"/>
    <x v="0"/>
    <n v="855"/>
    <n v="0.71250000000000002"/>
    <n v="1"/>
  </r>
  <r>
    <n v="1022"/>
    <d v="2023-09-05T00:00:00"/>
    <d v="1899-12-30T17:49:00"/>
    <n v="69"/>
    <x v="0"/>
    <x v="18"/>
    <x v="0"/>
    <n v="2"/>
    <n v="50"/>
    <n v="52.5"/>
    <n v="100"/>
    <x v="1"/>
    <n v="9"/>
    <x v="9"/>
    <n v="5"/>
    <x v="6"/>
    <x v="1"/>
    <n v="47.5"/>
    <n v="0.47499999999999998"/>
    <n v="0"/>
  </r>
  <r>
    <n v="1121"/>
    <d v="2022-11-23T00:00:00"/>
    <d v="1899-12-30T21:10:00"/>
    <n v="95"/>
    <x v="1"/>
    <x v="32"/>
    <x v="2"/>
    <n v="4"/>
    <n v="50"/>
    <n v="50.5"/>
    <n v="200"/>
    <x v="0"/>
    <n v="11"/>
    <x v="0"/>
    <n v="23"/>
    <x v="4"/>
    <x v="0"/>
    <n v="149.5"/>
    <n v="0.74750000000000005"/>
    <n v="1"/>
  </r>
  <r>
    <n v="1431"/>
    <d v="2023-09-28T00:00:00"/>
    <d v="1899-12-30T21:28:00"/>
    <n v="114"/>
    <x v="0"/>
    <x v="15"/>
    <x v="2"/>
    <n v="4"/>
    <n v="300"/>
    <n v="312"/>
    <n v="1200"/>
    <x v="1"/>
    <n v="9"/>
    <x v="9"/>
    <n v="28"/>
    <x v="2"/>
    <x v="1"/>
    <n v="888"/>
    <n v="0.74"/>
    <n v="1"/>
  </r>
  <r>
    <n v="370"/>
    <d v="2023-10-24T00:00:00"/>
    <d v="1899-12-30T21:04:00"/>
    <n v="61"/>
    <x v="0"/>
    <x v="8"/>
    <x v="2"/>
    <n v="2"/>
    <n v="30"/>
    <n v="34.799999999999997"/>
    <n v="60"/>
    <x v="1"/>
    <n v="10"/>
    <x v="5"/>
    <n v="24"/>
    <x v="6"/>
    <x v="0"/>
    <n v="25.2"/>
    <n v="0.42"/>
    <n v="0"/>
  </r>
  <r>
    <n v="711"/>
    <d v="2023-09-23T00:00:00"/>
    <d v="1899-12-30T22:26:00"/>
    <n v="103"/>
    <x v="0"/>
    <x v="6"/>
    <x v="2"/>
    <n v="3"/>
    <n v="500"/>
    <n v="575"/>
    <n v="1500"/>
    <x v="1"/>
    <n v="9"/>
    <x v="9"/>
    <n v="23"/>
    <x v="0"/>
    <x v="1"/>
    <n v="925"/>
    <n v="0.61666666699999995"/>
    <n v="1"/>
  </r>
  <r>
    <n v="754"/>
    <d v="2023-09-26T00:00:00"/>
    <d v="1899-12-30T18:40:00"/>
    <n v="90"/>
    <x v="1"/>
    <x v="22"/>
    <x v="2"/>
    <n v="4"/>
    <n v="25"/>
    <n v="23.75"/>
    <n v="100"/>
    <x v="1"/>
    <n v="9"/>
    <x v="9"/>
    <n v="26"/>
    <x v="6"/>
    <x v="1"/>
    <n v="76.25"/>
    <n v="0.76249999999999996"/>
    <n v="0"/>
  </r>
  <r>
    <n v="943"/>
    <d v="2022-11-05T00:00:00"/>
    <d v="1899-12-30T19:29:00"/>
    <n v="90"/>
    <x v="1"/>
    <x v="10"/>
    <x v="0"/>
    <n v="4"/>
    <n v="300"/>
    <n v="318"/>
    <n v="1200"/>
    <x v="0"/>
    <n v="11"/>
    <x v="0"/>
    <n v="5"/>
    <x v="0"/>
    <x v="0"/>
    <n v="882"/>
    <n v="0.73499999999999999"/>
    <n v="1"/>
  </r>
  <r>
    <n v="1370"/>
    <d v="2022-11-04T00:00:00"/>
    <d v="1899-12-30T22:51:00"/>
    <n v="90"/>
    <x v="0"/>
    <x v="8"/>
    <x v="2"/>
    <n v="2"/>
    <n v="30"/>
    <n v="36"/>
    <n v="60"/>
    <x v="0"/>
    <n v="11"/>
    <x v="0"/>
    <n v="4"/>
    <x v="3"/>
    <x v="0"/>
    <n v="24"/>
    <n v="0.4"/>
    <n v="0"/>
  </r>
  <r>
    <n v="1711"/>
    <d v="2023-09-22T00:00:00"/>
    <d v="1899-12-30T20:33:00"/>
    <n v="113"/>
    <x v="0"/>
    <x v="6"/>
    <x v="2"/>
    <n v="3"/>
    <n v="500"/>
    <n v="570"/>
    <n v="1500"/>
    <x v="1"/>
    <n v="9"/>
    <x v="9"/>
    <n v="22"/>
    <x v="3"/>
    <x v="1"/>
    <n v="930"/>
    <n v="0.62"/>
    <n v="1"/>
  </r>
  <r>
    <n v="1754"/>
    <d v="2022-12-01T00:00:00"/>
    <d v="1899-12-30T21:03:00"/>
    <n v="107"/>
    <x v="1"/>
    <x v="22"/>
    <x v="2"/>
    <n v="4"/>
    <n v="25"/>
    <n v="28.5"/>
    <n v="100"/>
    <x v="0"/>
    <n v="12"/>
    <x v="2"/>
    <n v="1"/>
    <x v="2"/>
    <x v="0"/>
    <n v="71.5"/>
    <n v="0.71499999999999997"/>
    <n v="0"/>
  </r>
  <r>
    <n v="1943"/>
    <d v="2023-11-17T00:00:00"/>
    <d v="1899-12-30T21:00:00"/>
    <n v="108"/>
    <x v="1"/>
    <x v="10"/>
    <x v="0"/>
    <n v="4"/>
    <n v="300"/>
    <n v="321"/>
    <n v="1200"/>
    <x v="1"/>
    <n v="11"/>
    <x v="0"/>
    <n v="17"/>
    <x v="3"/>
    <x v="0"/>
    <n v="879"/>
    <n v="0.73250000000000004"/>
    <n v="1"/>
  </r>
  <r>
    <n v="350"/>
    <d v="2022-11-20T00:00:00"/>
    <d v="1899-12-30T17:41:00"/>
    <n v="61"/>
    <x v="0"/>
    <x v="38"/>
    <x v="1"/>
    <n v="3"/>
    <n v="25"/>
    <n v="28.5"/>
    <n v="75"/>
    <x v="0"/>
    <n v="11"/>
    <x v="0"/>
    <n v="20"/>
    <x v="5"/>
    <x v="0"/>
    <n v="46.5"/>
    <n v="0.62"/>
    <n v="0"/>
  </r>
  <r>
    <n v="786"/>
    <d v="2022-12-16T00:00:00"/>
    <d v="1899-12-30T20:38:00"/>
    <n v="78"/>
    <x v="0"/>
    <x v="42"/>
    <x v="0"/>
    <n v="4"/>
    <n v="25"/>
    <n v="28.5"/>
    <n v="100"/>
    <x v="0"/>
    <n v="12"/>
    <x v="2"/>
    <n v="16"/>
    <x v="3"/>
    <x v="0"/>
    <n v="71.5"/>
    <n v="0.71499999999999997"/>
    <n v="0"/>
  </r>
  <r>
    <n v="1350"/>
    <d v="2023-11-08T00:00:00"/>
    <d v="1899-12-30T22:02:00"/>
    <n v="93"/>
    <x v="0"/>
    <x v="38"/>
    <x v="1"/>
    <n v="3"/>
    <n v="25"/>
    <n v="29.25"/>
    <n v="75"/>
    <x v="1"/>
    <n v="11"/>
    <x v="0"/>
    <n v="8"/>
    <x v="4"/>
    <x v="0"/>
    <n v="45.75"/>
    <n v="0.61"/>
    <n v="0"/>
  </r>
  <r>
    <n v="1786"/>
    <d v="2022-09-27T00:00:00"/>
    <d v="1899-12-30T21:26:00"/>
    <n v="69"/>
    <x v="0"/>
    <x v="42"/>
    <x v="0"/>
    <n v="4"/>
    <n v="25"/>
    <n v="28.75"/>
    <n v="100"/>
    <x v="0"/>
    <n v="9"/>
    <x v="9"/>
    <n v="27"/>
    <x v="6"/>
    <x v="1"/>
    <n v="71.25"/>
    <n v="0.71250000000000002"/>
    <n v="0"/>
  </r>
  <r>
    <n v="109"/>
    <d v="2023-09-06T00:00:00"/>
    <d v="1899-12-30T19:57:00"/>
    <n v="94"/>
    <x v="1"/>
    <x v="23"/>
    <x v="2"/>
    <n v="4"/>
    <n v="500"/>
    <n v="560"/>
    <n v="2000"/>
    <x v="1"/>
    <n v="9"/>
    <x v="9"/>
    <n v="6"/>
    <x v="4"/>
    <x v="1"/>
    <n v="1440"/>
    <n v="0.72"/>
    <n v="1"/>
  </r>
  <r>
    <n v="191"/>
    <d v="2023-12-22T00:00:00"/>
    <d v="1899-12-30T21:24:00"/>
    <n v="71"/>
    <x v="0"/>
    <x v="3"/>
    <x v="1"/>
    <n v="1"/>
    <n v="25"/>
    <n v="28.25"/>
    <n v="25"/>
    <x v="1"/>
    <n v="12"/>
    <x v="2"/>
    <n v="22"/>
    <x v="3"/>
    <x v="0"/>
    <n v="-3.25"/>
    <n v="-0.13"/>
    <n v="0"/>
  </r>
  <r>
    <n v="1109"/>
    <d v="2023-12-13T00:00:00"/>
    <d v="1899-12-30T22:13:00"/>
    <n v="114"/>
    <x v="1"/>
    <x v="23"/>
    <x v="2"/>
    <n v="4"/>
    <n v="500"/>
    <n v="590"/>
    <n v="2000"/>
    <x v="1"/>
    <n v="12"/>
    <x v="2"/>
    <n v="13"/>
    <x v="4"/>
    <x v="0"/>
    <n v="1410"/>
    <n v="0.70499999999999996"/>
    <n v="1"/>
  </r>
  <r>
    <n v="1191"/>
    <d v="2023-09-25T00:00:00"/>
    <d v="1899-12-30T17:20:00"/>
    <n v="88"/>
    <x v="0"/>
    <x v="3"/>
    <x v="1"/>
    <n v="1"/>
    <n v="25"/>
    <n v="25"/>
    <n v="25"/>
    <x v="1"/>
    <n v="9"/>
    <x v="9"/>
    <n v="25"/>
    <x v="1"/>
    <x v="1"/>
    <n v="0"/>
    <n v="0"/>
    <n v="0"/>
  </r>
  <r>
    <n v="340"/>
    <d v="2023-09-19T00:00:00"/>
    <d v="1899-12-30T22:59:00"/>
    <n v="54"/>
    <x v="1"/>
    <x v="31"/>
    <x v="0"/>
    <n v="4"/>
    <n v="300"/>
    <n v="294"/>
    <n v="1200"/>
    <x v="1"/>
    <n v="9"/>
    <x v="9"/>
    <n v="19"/>
    <x v="6"/>
    <x v="1"/>
    <n v="906"/>
    <n v="0.755"/>
    <n v="1"/>
  </r>
  <r>
    <n v="555"/>
    <d v="2022-12-14T00:00:00"/>
    <d v="1899-12-30T19:35:00"/>
    <n v="103"/>
    <x v="0"/>
    <x v="38"/>
    <x v="1"/>
    <n v="1"/>
    <n v="300"/>
    <n v="360"/>
    <n v="300"/>
    <x v="0"/>
    <n v="12"/>
    <x v="2"/>
    <n v="14"/>
    <x v="4"/>
    <x v="0"/>
    <n v="-60"/>
    <n v="-0.2"/>
    <n v="1"/>
  </r>
  <r>
    <n v="826"/>
    <d v="2022-12-24T00:00:00"/>
    <d v="1899-12-30T19:08:00"/>
    <n v="81"/>
    <x v="1"/>
    <x v="1"/>
    <x v="0"/>
    <n v="1"/>
    <n v="300"/>
    <n v="303"/>
    <n v="300"/>
    <x v="0"/>
    <n v="12"/>
    <x v="2"/>
    <n v="24"/>
    <x v="0"/>
    <x v="0"/>
    <n v="-3"/>
    <n v="-0.01"/>
    <n v="1"/>
  </r>
  <r>
    <n v="962"/>
    <d v="2023-12-15T00:00:00"/>
    <d v="1899-12-30T22:02:00"/>
    <n v="76"/>
    <x v="0"/>
    <x v="47"/>
    <x v="0"/>
    <n v="2"/>
    <n v="30"/>
    <n v="35.1"/>
    <n v="60"/>
    <x v="1"/>
    <n v="12"/>
    <x v="2"/>
    <n v="15"/>
    <x v="3"/>
    <x v="0"/>
    <n v="24.9"/>
    <n v="0.41499999999999998"/>
    <n v="0"/>
  </r>
  <r>
    <n v="1340"/>
    <d v="2023-10-30T00:00:00"/>
    <d v="1899-12-30T20:55:00"/>
    <n v="92"/>
    <x v="1"/>
    <x v="31"/>
    <x v="0"/>
    <n v="4"/>
    <n v="300"/>
    <n v="348"/>
    <n v="1200"/>
    <x v="1"/>
    <n v="10"/>
    <x v="5"/>
    <n v="30"/>
    <x v="1"/>
    <x v="0"/>
    <n v="852"/>
    <n v="0.71"/>
    <n v="1"/>
  </r>
  <r>
    <n v="1555"/>
    <d v="2022-12-19T00:00:00"/>
    <d v="1899-12-30T18:54:00"/>
    <n v="55"/>
    <x v="0"/>
    <x v="38"/>
    <x v="1"/>
    <n v="1"/>
    <n v="300"/>
    <n v="312"/>
    <n v="300"/>
    <x v="0"/>
    <n v="12"/>
    <x v="2"/>
    <n v="19"/>
    <x v="1"/>
    <x v="0"/>
    <n v="-12"/>
    <n v="-0.04"/>
    <n v="1"/>
  </r>
  <r>
    <n v="1826"/>
    <d v="2022-12-30T00:00:00"/>
    <d v="1899-12-30T22:05:00"/>
    <n v="104"/>
    <x v="1"/>
    <x v="1"/>
    <x v="0"/>
    <n v="1"/>
    <n v="300"/>
    <n v="297"/>
    <n v="300"/>
    <x v="0"/>
    <n v="12"/>
    <x v="2"/>
    <n v="30"/>
    <x v="3"/>
    <x v="0"/>
    <n v="3"/>
    <n v="0.01"/>
    <n v="1"/>
  </r>
  <r>
    <n v="1962"/>
    <d v="2022-09-07T00:00:00"/>
    <d v="1899-12-30T18:59:00"/>
    <n v="65"/>
    <x v="0"/>
    <x v="47"/>
    <x v="0"/>
    <n v="2"/>
    <n v="30"/>
    <n v="32.700000000000003"/>
    <n v="60"/>
    <x v="0"/>
    <n v="9"/>
    <x v="9"/>
    <n v="7"/>
    <x v="4"/>
    <x v="1"/>
    <n v="27.3"/>
    <n v="0.45500000000000002"/>
    <n v="0"/>
  </r>
  <r>
    <n v="249"/>
    <d v="2022-09-28T00:00:00"/>
    <d v="1899-12-30T20:17:00"/>
    <n v="109"/>
    <x v="0"/>
    <x v="36"/>
    <x v="0"/>
    <n v="1"/>
    <n v="50"/>
    <n v="53.5"/>
    <n v="50"/>
    <x v="0"/>
    <n v="9"/>
    <x v="9"/>
    <n v="28"/>
    <x v="4"/>
    <x v="1"/>
    <n v="-3.5"/>
    <n v="-7.0000000000000007E-2"/>
    <n v="0"/>
  </r>
  <r>
    <n v="1249"/>
    <d v="2022-12-10T00:00:00"/>
    <d v="1899-12-30T21:44:00"/>
    <n v="95"/>
    <x v="0"/>
    <x v="36"/>
    <x v="0"/>
    <n v="1"/>
    <n v="50"/>
    <n v="60"/>
    <n v="50"/>
    <x v="0"/>
    <n v="12"/>
    <x v="2"/>
    <n v="10"/>
    <x v="0"/>
    <x v="0"/>
    <n v="-10"/>
    <n v="-0.2"/>
    <n v="0"/>
  </r>
  <r>
    <n v="922"/>
    <d v="2023-10-19T00:00:00"/>
    <d v="1899-12-30T22:54:00"/>
    <n v="103"/>
    <x v="0"/>
    <x v="0"/>
    <x v="2"/>
    <n v="1"/>
    <n v="50"/>
    <n v="60.5"/>
    <n v="50"/>
    <x v="1"/>
    <n v="10"/>
    <x v="5"/>
    <n v="19"/>
    <x v="2"/>
    <x v="0"/>
    <n v="-10.5"/>
    <n v="-0.21"/>
    <n v="0"/>
  </r>
  <r>
    <n v="1922"/>
    <d v="2023-10-28T00:00:00"/>
    <d v="1899-12-30T20:07:00"/>
    <n v="72"/>
    <x v="0"/>
    <x v="0"/>
    <x v="2"/>
    <n v="1"/>
    <n v="50"/>
    <n v="48.5"/>
    <n v="50"/>
    <x v="1"/>
    <n v="10"/>
    <x v="5"/>
    <n v="28"/>
    <x v="0"/>
    <x v="0"/>
    <n v="1.5"/>
    <n v="0.03"/>
    <n v="0"/>
  </r>
  <r>
    <n v="600"/>
    <d v="2023-10-09T00:00:00"/>
    <d v="1899-12-30T18:39:00"/>
    <n v="64"/>
    <x v="1"/>
    <x v="26"/>
    <x v="1"/>
    <n v="2"/>
    <n v="500"/>
    <n v="525"/>
    <n v="1000"/>
    <x v="1"/>
    <n v="10"/>
    <x v="5"/>
    <n v="9"/>
    <x v="1"/>
    <x v="0"/>
    <n v="475"/>
    <n v="0.47499999999999998"/>
    <n v="1"/>
  </r>
  <r>
    <n v="680"/>
    <d v="2022-12-01T00:00:00"/>
    <d v="1899-12-30T22:04:00"/>
    <n v="110"/>
    <x v="1"/>
    <x v="21"/>
    <x v="0"/>
    <n v="3"/>
    <n v="300"/>
    <n v="330"/>
    <n v="900"/>
    <x v="0"/>
    <n v="12"/>
    <x v="2"/>
    <n v="1"/>
    <x v="2"/>
    <x v="0"/>
    <n v="570"/>
    <n v="0.63333333300000005"/>
    <n v="1"/>
  </r>
  <r>
    <n v="770"/>
    <d v="2022-12-11T00:00:00"/>
    <d v="1899-12-30T22:49:00"/>
    <n v="71"/>
    <x v="0"/>
    <x v="37"/>
    <x v="0"/>
    <n v="1"/>
    <n v="50"/>
    <n v="55"/>
    <n v="50"/>
    <x v="0"/>
    <n v="12"/>
    <x v="2"/>
    <n v="11"/>
    <x v="5"/>
    <x v="0"/>
    <n v="-5"/>
    <n v="-0.1"/>
    <n v="0"/>
  </r>
  <r>
    <n v="1600"/>
    <d v="2022-12-18T00:00:00"/>
    <d v="1899-12-30T17:44:00"/>
    <n v="67"/>
    <x v="1"/>
    <x v="26"/>
    <x v="1"/>
    <n v="2"/>
    <n v="500"/>
    <n v="575"/>
    <n v="1000"/>
    <x v="0"/>
    <n v="12"/>
    <x v="2"/>
    <n v="18"/>
    <x v="5"/>
    <x v="0"/>
    <n v="425"/>
    <n v="0.42499999999999999"/>
    <n v="1"/>
  </r>
  <r>
    <n v="1680"/>
    <d v="2023-09-03T00:00:00"/>
    <d v="1899-12-30T17:12:00"/>
    <n v="72"/>
    <x v="1"/>
    <x v="21"/>
    <x v="0"/>
    <n v="3"/>
    <n v="300"/>
    <n v="324"/>
    <n v="900"/>
    <x v="1"/>
    <n v="9"/>
    <x v="9"/>
    <n v="3"/>
    <x v="5"/>
    <x v="1"/>
    <n v="576"/>
    <n v="0.64"/>
    <n v="1"/>
  </r>
  <r>
    <n v="1770"/>
    <d v="2023-11-30T00:00:00"/>
    <d v="1899-12-30T20:08:00"/>
    <n v="65"/>
    <x v="0"/>
    <x v="37"/>
    <x v="0"/>
    <n v="1"/>
    <n v="50"/>
    <n v="56"/>
    <n v="50"/>
    <x v="1"/>
    <n v="11"/>
    <x v="0"/>
    <n v="30"/>
    <x v="2"/>
    <x v="0"/>
    <n v="-6"/>
    <n v="-0.12"/>
    <n v="0"/>
  </r>
  <r>
    <n v="60"/>
    <d v="2022-12-04T00:00:00"/>
    <d v="1899-12-30T18:15:00"/>
    <n v="91"/>
    <x v="0"/>
    <x v="7"/>
    <x v="1"/>
    <n v="3"/>
    <n v="50"/>
    <n v="60.5"/>
    <n v="150"/>
    <x v="0"/>
    <n v="12"/>
    <x v="2"/>
    <n v="4"/>
    <x v="5"/>
    <x v="0"/>
    <n v="89.5"/>
    <n v="0.59666666700000004"/>
    <n v="1"/>
  </r>
  <r>
    <n v="250"/>
    <d v="2022-12-24T00:00:00"/>
    <d v="1899-12-30T23:00:00"/>
    <n v="91"/>
    <x v="0"/>
    <x v="42"/>
    <x v="2"/>
    <n v="1"/>
    <n v="50"/>
    <n v="60.5"/>
    <n v="50"/>
    <x v="0"/>
    <n v="12"/>
    <x v="2"/>
    <n v="24"/>
    <x v="0"/>
    <x v="0"/>
    <n v="-10.5"/>
    <n v="-0.21"/>
    <n v="0"/>
  </r>
  <r>
    <n v="516"/>
    <d v="2023-09-20T00:00:00"/>
    <d v="1899-12-30T18:38:00"/>
    <n v="85"/>
    <x v="0"/>
    <x v="7"/>
    <x v="1"/>
    <n v="4"/>
    <n v="25"/>
    <n v="24.25"/>
    <n v="100"/>
    <x v="1"/>
    <n v="9"/>
    <x v="9"/>
    <n v="20"/>
    <x v="4"/>
    <x v="1"/>
    <n v="75.75"/>
    <n v="0.75749999999999995"/>
    <n v="0"/>
  </r>
  <r>
    <n v="937"/>
    <d v="2022-10-18T00:00:00"/>
    <d v="1899-12-30T19:57:00"/>
    <n v="50"/>
    <x v="1"/>
    <x v="44"/>
    <x v="1"/>
    <n v="1"/>
    <n v="500"/>
    <n v="510"/>
    <n v="500"/>
    <x v="0"/>
    <n v="10"/>
    <x v="5"/>
    <n v="18"/>
    <x v="6"/>
    <x v="0"/>
    <n v="-10"/>
    <n v="-0.02"/>
    <n v="1"/>
  </r>
  <r>
    <n v="1060"/>
    <d v="2022-11-12T00:00:00"/>
    <d v="1899-12-30T18:29:00"/>
    <n v="71"/>
    <x v="0"/>
    <x v="7"/>
    <x v="1"/>
    <n v="3"/>
    <n v="50"/>
    <n v="57"/>
    <n v="150"/>
    <x v="0"/>
    <n v="11"/>
    <x v="0"/>
    <n v="12"/>
    <x v="0"/>
    <x v="0"/>
    <n v="93"/>
    <n v="0.62"/>
    <n v="1"/>
  </r>
  <r>
    <n v="1250"/>
    <d v="2022-11-19T00:00:00"/>
    <d v="1899-12-30T20:39:00"/>
    <n v="96"/>
    <x v="0"/>
    <x v="42"/>
    <x v="2"/>
    <n v="1"/>
    <n v="50"/>
    <n v="48.5"/>
    <n v="50"/>
    <x v="0"/>
    <n v="11"/>
    <x v="0"/>
    <n v="19"/>
    <x v="0"/>
    <x v="0"/>
    <n v="1.5"/>
    <n v="0.03"/>
    <n v="0"/>
  </r>
  <r>
    <n v="1516"/>
    <d v="2022-11-09T00:00:00"/>
    <d v="1899-12-30T17:19:00"/>
    <n v="54"/>
    <x v="0"/>
    <x v="7"/>
    <x v="1"/>
    <n v="4"/>
    <n v="25"/>
    <n v="24.5"/>
    <n v="100"/>
    <x v="0"/>
    <n v="11"/>
    <x v="0"/>
    <n v="9"/>
    <x v="4"/>
    <x v="0"/>
    <n v="75.5"/>
    <n v="0.755"/>
    <n v="0"/>
  </r>
  <r>
    <n v="1937"/>
    <d v="2022-09-07T00:00:00"/>
    <d v="1899-12-30T17:57:00"/>
    <n v="52"/>
    <x v="1"/>
    <x v="44"/>
    <x v="1"/>
    <n v="1"/>
    <n v="500"/>
    <n v="620"/>
    <n v="500"/>
    <x v="0"/>
    <n v="9"/>
    <x v="9"/>
    <n v="7"/>
    <x v="4"/>
    <x v="1"/>
    <n v="-120"/>
    <n v="-0.24"/>
    <n v="1"/>
  </r>
  <r>
    <n v="318"/>
    <d v="2023-10-22T00:00:00"/>
    <d v="1899-12-30T21:26:00"/>
    <n v="57"/>
    <x v="0"/>
    <x v="45"/>
    <x v="0"/>
    <n v="1"/>
    <n v="25"/>
    <n v="29.25"/>
    <n v="25"/>
    <x v="1"/>
    <n v="10"/>
    <x v="5"/>
    <n v="22"/>
    <x v="5"/>
    <x v="0"/>
    <n v="-4.25"/>
    <n v="-0.17"/>
    <n v="0"/>
  </r>
  <r>
    <n v="342"/>
    <d v="2023-11-05T00:00:00"/>
    <d v="1899-12-30T17:24:00"/>
    <n v="85"/>
    <x v="1"/>
    <x v="22"/>
    <x v="0"/>
    <n v="4"/>
    <n v="500"/>
    <n v="500"/>
    <n v="2000"/>
    <x v="1"/>
    <n v="11"/>
    <x v="0"/>
    <n v="5"/>
    <x v="5"/>
    <x v="0"/>
    <n v="1500"/>
    <n v="0.75"/>
    <n v="1"/>
  </r>
  <r>
    <n v="564"/>
    <d v="2023-09-12T00:00:00"/>
    <d v="1899-12-30T20:14:00"/>
    <n v="114"/>
    <x v="0"/>
    <x v="20"/>
    <x v="2"/>
    <n v="2"/>
    <n v="50"/>
    <n v="55.5"/>
    <n v="100"/>
    <x v="1"/>
    <n v="9"/>
    <x v="9"/>
    <n v="12"/>
    <x v="6"/>
    <x v="1"/>
    <n v="44.5"/>
    <n v="0.44500000000000001"/>
    <n v="0"/>
  </r>
  <r>
    <n v="767"/>
    <d v="2022-11-07T00:00:00"/>
    <d v="1899-12-30T22:44:00"/>
    <n v="72"/>
    <x v="0"/>
    <x v="27"/>
    <x v="1"/>
    <n v="3"/>
    <n v="25"/>
    <n v="24.5"/>
    <n v="75"/>
    <x v="0"/>
    <n v="11"/>
    <x v="0"/>
    <n v="7"/>
    <x v="1"/>
    <x v="0"/>
    <n v="50.5"/>
    <n v="0.67333333299999998"/>
    <n v="0"/>
  </r>
  <r>
    <n v="1318"/>
    <d v="2022-12-25T00:00:00"/>
    <d v="1899-12-30T22:57:00"/>
    <n v="55"/>
    <x v="0"/>
    <x v="45"/>
    <x v="0"/>
    <n v="1"/>
    <n v="25"/>
    <n v="27"/>
    <n v="25"/>
    <x v="0"/>
    <n v="12"/>
    <x v="2"/>
    <n v="25"/>
    <x v="5"/>
    <x v="0"/>
    <n v="-2"/>
    <n v="-0.08"/>
    <n v="0"/>
  </r>
  <r>
    <n v="1342"/>
    <d v="2022-09-18T00:00:00"/>
    <d v="1899-12-30T23:00:00"/>
    <n v="114"/>
    <x v="1"/>
    <x v="22"/>
    <x v="0"/>
    <n v="4"/>
    <n v="500"/>
    <n v="485"/>
    <n v="2000"/>
    <x v="0"/>
    <n v="9"/>
    <x v="9"/>
    <n v="18"/>
    <x v="5"/>
    <x v="1"/>
    <n v="1515"/>
    <n v="0.75749999999999995"/>
    <n v="1"/>
  </r>
  <r>
    <n v="1564"/>
    <d v="2022-10-04T00:00:00"/>
    <d v="1899-12-30T22:55:00"/>
    <n v="115"/>
    <x v="0"/>
    <x v="20"/>
    <x v="2"/>
    <n v="2"/>
    <n v="50"/>
    <n v="49.5"/>
    <n v="100"/>
    <x v="0"/>
    <n v="10"/>
    <x v="5"/>
    <n v="4"/>
    <x v="6"/>
    <x v="0"/>
    <n v="50.5"/>
    <n v="0.505"/>
    <n v="0"/>
  </r>
  <r>
    <n v="1767"/>
    <d v="2022-12-10T00:00:00"/>
    <d v="1899-12-30T17:35:00"/>
    <n v="87"/>
    <x v="0"/>
    <x v="27"/>
    <x v="1"/>
    <n v="3"/>
    <n v="25"/>
    <n v="28.25"/>
    <n v="75"/>
    <x v="0"/>
    <n v="12"/>
    <x v="2"/>
    <n v="10"/>
    <x v="0"/>
    <x v="0"/>
    <n v="46.75"/>
    <n v="0.62333333300000004"/>
    <n v="0"/>
  </r>
  <r>
    <n v="503"/>
    <d v="2023-10-08T00:00:00"/>
    <d v="1899-12-30T20:06:00"/>
    <n v="63"/>
    <x v="0"/>
    <x v="14"/>
    <x v="1"/>
    <n v="4"/>
    <n v="500"/>
    <n v="570"/>
    <n v="2000"/>
    <x v="1"/>
    <n v="10"/>
    <x v="5"/>
    <n v="8"/>
    <x v="5"/>
    <x v="0"/>
    <n v="1430"/>
    <n v="0.71499999999999997"/>
    <n v="1"/>
  </r>
  <r>
    <n v="869"/>
    <d v="2022-09-08T00:00:00"/>
    <d v="1899-12-30T22:16:00"/>
    <n v="51"/>
    <x v="0"/>
    <x v="5"/>
    <x v="1"/>
    <n v="3"/>
    <n v="500"/>
    <n v="485"/>
    <n v="1500"/>
    <x v="0"/>
    <n v="9"/>
    <x v="9"/>
    <n v="8"/>
    <x v="2"/>
    <x v="1"/>
    <n v="1015"/>
    <n v="0.676666667"/>
    <n v="1"/>
  </r>
  <r>
    <n v="1503"/>
    <d v="2022-10-17T00:00:00"/>
    <d v="1899-12-30T18:28:00"/>
    <n v="67"/>
    <x v="0"/>
    <x v="14"/>
    <x v="1"/>
    <n v="4"/>
    <n v="500"/>
    <n v="605"/>
    <n v="2000"/>
    <x v="0"/>
    <n v="10"/>
    <x v="5"/>
    <n v="17"/>
    <x v="1"/>
    <x v="0"/>
    <n v="1395"/>
    <n v="0.69750000000000001"/>
    <n v="1"/>
  </r>
  <r>
    <n v="1869"/>
    <d v="2022-10-23T00:00:00"/>
    <d v="1899-12-30T19:51:00"/>
    <n v="113"/>
    <x v="0"/>
    <x v="5"/>
    <x v="1"/>
    <n v="3"/>
    <n v="500"/>
    <n v="605"/>
    <n v="1500"/>
    <x v="0"/>
    <n v="10"/>
    <x v="5"/>
    <n v="23"/>
    <x v="5"/>
    <x v="0"/>
    <n v="895"/>
    <n v="0.59666666700000004"/>
    <n v="1"/>
  </r>
  <r>
    <n v="126"/>
    <d v="2022-11-01T00:00:00"/>
    <d v="1899-12-30T18:16:00"/>
    <n v="63"/>
    <x v="1"/>
    <x v="32"/>
    <x v="0"/>
    <n v="3"/>
    <n v="30"/>
    <n v="28.8"/>
    <n v="90"/>
    <x v="0"/>
    <n v="11"/>
    <x v="0"/>
    <n v="1"/>
    <x v="6"/>
    <x v="0"/>
    <n v="61.2"/>
    <n v="0.68"/>
    <n v="0"/>
  </r>
  <r>
    <n v="349"/>
    <d v="2023-12-04T00:00:00"/>
    <d v="1899-12-30T17:05:00"/>
    <n v="78"/>
    <x v="1"/>
    <x v="10"/>
    <x v="1"/>
    <n v="1"/>
    <n v="50"/>
    <n v="48.5"/>
    <n v="50"/>
    <x v="1"/>
    <n v="12"/>
    <x v="2"/>
    <n v="4"/>
    <x v="1"/>
    <x v="0"/>
    <n v="1.5"/>
    <n v="0.03"/>
    <n v="0"/>
  </r>
  <r>
    <n v="440"/>
    <d v="2023-11-22T00:00:00"/>
    <d v="1899-12-30T20:15:00"/>
    <n v="110"/>
    <x v="0"/>
    <x v="3"/>
    <x v="0"/>
    <n v="2"/>
    <n v="300"/>
    <n v="348"/>
    <n v="600"/>
    <x v="1"/>
    <n v="11"/>
    <x v="0"/>
    <n v="22"/>
    <x v="4"/>
    <x v="0"/>
    <n v="252"/>
    <n v="0.42"/>
    <n v="1"/>
  </r>
  <r>
    <n v="1126"/>
    <d v="2022-09-12T00:00:00"/>
    <d v="1899-12-30T17:12:00"/>
    <n v="62"/>
    <x v="1"/>
    <x v="32"/>
    <x v="0"/>
    <n v="3"/>
    <n v="30"/>
    <n v="28.8"/>
    <n v="90"/>
    <x v="0"/>
    <n v="9"/>
    <x v="9"/>
    <n v="12"/>
    <x v="1"/>
    <x v="1"/>
    <n v="61.2"/>
    <n v="0.68"/>
    <n v="0"/>
  </r>
  <r>
    <n v="1349"/>
    <d v="2023-12-08T00:00:00"/>
    <d v="1899-12-30T21:57:00"/>
    <n v="112"/>
    <x v="1"/>
    <x v="10"/>
    <x v="1"/>
    <n v="1"/>
    <n v="50"/>
    <n v="49.5"/>
    <n v="50"/>
    <x v="1"/>
    <n v="12"/>
    <x v="2"/>
    <n v="8"/>
    <x v="3"/>
    <x v="0"/>
    <n v="0.5"/>
    <n v="0.01"/>
    <n v="0"/>
  </r>
  <r>
    <n v="1440"/>
    <d v="2023-09-01T00:00:00"/>
    <d v="1899-12-30T19:20:00"/>
    <n v="86"/>
    <x v="0"/>
    <x v="3"/>
    <x v="0"/>
    <n v="2"/>
    <n v="300"/>
    <n v="354"/>
    <n v="600"/>
    <x v="1"/>
    <n v="9"/>
    <x v="9"/>
    <n v="1"/>
    <x v="3"/>
    <x v="1"/>
    <n v="246"/>
    <n v="0.41"/>
    <n v="1"/>
  </r>
  <r>
    <n v="124"/>
    <d v="2022-12-24T00:00:00"/>
    <d v="1899-12-30T21:17:00"/>
    <n v="83"/>
    <x v="0"/>
    <x v="19"/>
    <x v="0"/>
    <n v="4"/>
    <n v="500"/>
    <n v="515"/>
    <n v="2000"/>
    <x v="0"/>
    <n v="12"/>
    <x v="2"/>
    <n v="24"/>
    <x v="0"/>
    <x v="0"/>
    <n v="1485"/>
    <n v="0.74250000000000005"/>
    <n v="1"/>
  </r>
  <r>
    <n v="324"/>
    <d v="2022-11-15T00:00:00"/>
    <d v="1899-12-30T17:52:00"/>
    <n v="54"/>
    <x v="1"/>
    <x v="41"/>
    <x v="2"/>
    <n v="3"/>
    <n v="50"/>
    <n v="49"/>
    <n v="150"/>
    <x v="0"/>
    <n v="11"/>
    <x v="0"/>
    <n v="15"/>
    <x v="6"/>
    <x v="0"/>
    <n v="101"/>
    <n v="0.67333333299999998"/>
    <n v="1"/>
  </r>
  <r>
    <n v="677"/>
    <d v="2022-12-17T00:00:00"/>
    <d v="1899-12-30T21:13:00"/>
    <n v="65"/>
    <x v="1"/>
    <x v="4"/>
    <x v="1"/>
    <n v="3"/>
    <n v="500"/>
    <n v="555"/>
    <n v="1500"/>
    <x v="0"/>
    <n v="12"/>
    <x v="2"/>
    <n v="17"/>
    <x v="0"/>
    <x v="0"/>
    <n v="945"/>
    <n v="0.63"/>
    <n v="1"/>
  </r>
  <r>
    <n v="1124"/>
    <d v="2023-10-06T00:00:00"/>
    <d v="1899-12-30T20:04:00"/>
    <n v="83"/>
    <x v="0"/>
    <x v="19"/>
    <x v="0"/>
    <n v="4"/>
    <n v="500"/>
    <n v="515"/>
    <n v="2000"/>
    <x v="1"/>
    <n v="10"/>
    <x v="5"/>
    <n v="6"/>
    <x v="3"/>
    <x v="0"/>
    <n v="1485"/>
    <n v="0.74250000000000005"/>
    <n v="1"/>
  </r>
  <r>
    <n v="1324"/>
    <d v="2023-09-25T00:00:00"/>
    <d v="1899-12-30T20:29:00"/>
    <n v="56"/>
    <x v="1"/>
    <x v="41"/>
    <x v="2"/>
    <n v="3"/>
    <n v="50"/>
    <n v="55"/>
    <n v="150"/>
    <x v="1"/>
    <n v="9"/>
    <x v="9"/>
    <n v="25"/>
    <x v="1"/>
    <x v="1"/>
    <n v="95"/>
    <n v="0.63333333300000005"/>
    <n v="1"/>
  </r>
  <r>
    <n v="1677"/>
    <d v="2022-10-02T00:00:00"/>
    <d v="1899-12-30T20:51:00"/>
    <n v="84"/>
    <x v="1"/>
    <x v="4"/>
    <x v="1"/>
    <n v="3"/>
    <n v="500"/>
    <n v="490"/>
    <n v="1500"/>
    <x v="0"/>
    <n v="10"/>
    <x v="5"/>
    <n v="2"/>
    <x v="5"/>
    <x v="0"/>
    <n v="1010"/>
    <n v="0.67333333299999998"/>
    <n v="1"/>
  </r>
  <r>
    <n v="30"/>
    <d v="2023-10-10T00:00:00"/>
    <d v="1899-12-30T20:05:00"/>
    <n v="59"/>
    <x v="1"/>
    <x v="27"/>
    <x v="1"/>
    <n v="3"/>
    <n v="300"/>
    <n v="285"/>
    <n v="900"/>
    <x v="1"/>
    <n v="10"/>
    <x v="5"/>
    <n v="10"/>
    <x v="6"/>
    <x v="0"/>
    <n v="615"/>
    <n v="0.68333333299999999"/>
    <n v="1"/>
  </r>
  <r>
    <n v="226"/>
    <d v="2022-09-23T00:00:00"/>
    <d v="1899-12-30T17:02:00"/>
    <n v="69"/>
    <x v="1"/>
    <x v="45"/>
    <x v="0"/>
    <n v="1"/>
    <n v="50"/>
    <n v="57.5"/>
    <n v="50"/>
    <x v="0"/>
    <n v="9"/>
    <x v="9"/>
    <n v="23"/>
    <x v="3"/>
    <x v="1"/>
    <n v="-7.5"/>
    <n v="-0.15"/>
    <n v="0"/>
  </r>
  <r>
    <n v="229"/>
    <d v="2023-11-09T00:00:00"/>
    <d v="1899-12-30T19:23:00"/>
    <n v="92"/>
    <x v="0"/>
    <x v="43"/>
    <x v="1"/>
    <n v="3"/>
    <n v="30"/>
    <n v="36.9"/>
    <n v="90"/>
    <x v="1"/>
    <n v="11"/>
    <x v="0"/>
    <n v="9"/>
    <x v="2"/>
    <x v="0"/>
    <n v="53.1"/>
    <n v="0.59"/>
    <n v="0"/>
  </r>
  <r>
    <n v="896"/>
    <d v="2023-12-30T00:00:00"/>
    <d v="1899-12-30T19:17:00"/>
    <n v="56"/>
    <x v="1"/>
    <x v="7"/>
    <x v="2"/>
    <n v="2"/>
    <n v="25"/>
    <n v="30.75"/>
    <n v="50"/>
    <x v="1"/>
    <n v="12"/>
    <x v="2"/>
    <n v="30"/>
    <x v="0"/>
    <x v="0"/>
    <n v="19.25"/>
    <n v="0.38500000000000001"/>
    <n v="0"/>
  </r>
  <r>
    <n v="959"/>
    <d v="2022-09-18T00:00:00"/>
    <d v="1899-12-30T17:59:00"/>
    <n v="54"/>
    <x v="1"/>
    <x v="25"/>
    <x v="2"/>
    <n v="2"/>
    <n v="30"/>
    <n v="28.5"/>
    <n v="60"/>
    <x v="0"/>
    <n v="9"/>
    <x v="9"/>
    <n v="18"/>
    <x v="5"/>
    <x v="1"/>
    <n v="31.5"/>
    <n v="0.52500000000000002"/>
    <n v="0"/>
  </r>
  <r>
    <n v="998"/>
    <d v="2023-10-21T00:00:00"/>
    <d v="1899-12-30T17:32:00"/>
    <n v="61"/>
    <x v="1"/>
    <x v="8"/>
    <x v="1"/>
    <n v="4"/>
    <n v="25"/>
    <n v="30.5"/>
    <n v="100"/>
    <x v="1"/>
    <n v="10"/>
    <x v="5"/>
    <n v="21"/>
    <x v="0"/>
    <x v="0"/>
    <n v="69.5"/>
    <n v="0.69499999999999995"/>
    <n v="0"/>
  </r>
  <r>
    <n v="1030"/>
    <d v="2022-11-27T00:00:00"/>
    <d v="1899-12-30T18:02:00"/>
    <n v="96"/>
    <x v="1"/>
    <x v="27"/>
    <x v="1"/>
    <n v="3"/>
    <n v="300"/>
    <n v="309"/>
    <n v="900"/>
    <x v="0"/>
    <n v="11"/>
    <x v="0"/>
    <n v="27"/>
    <x v="5"/>
    <x v="0"/>
    <n v="591"/>
    <n v="0.65666666699999998"/>
    <n v="1"/>
  </r>
  <r>
    <n v="1226"/>
    <d v="2023-11-30T00:00:00"/>
    <d v="1899-12-30T17:52:00"/>
    <n v="102"/>
    <x v="1"/>
    <x v="45"/>
    <x v="0"/>
    <n v="1"/>
    <n v="50"/>
    <n v="51"/>
    <n v="50"/>
    <x v="1"/>
    <n v="11"/>
    <x v="0"/>
    <n v="30"/>
    <x v="2"/>
    <x v="0"/>
    <n v="-1"/>
    <n v="-0.02"/>
    <n v="0"/>
  </r>
  <r>
    <n v="1229"/>
    <d v="2023-11-02T00:00:00"/>
    <d v="1899-12-30T21:08:00"/>
    <n v="62"/>
    <x v="0"/>
    <x v="43"/>
    <x v="1"/>
    <n v="3"/>
    <n v="30"/>
    <n v="34.5"/>
    <n v="90"/>
    <x v="1"/>
    <n v="11"/>
    <x v="0"/>
    <n v="2"/>
    <x v="2"/>
    <x v="0"/>
    <n v="55.5"/>
    <n v="0.61666666699999995"/>
    <n v="0"/>
  </r>
  <r>
    <n v="1896"/>
    <d v="2022-11-05T00:00:00"/>
    <d v="1899-12-30T20:19:00"/>
    <n v="87"/>
    <x v="1"/>
    <x v="7"/>
    <x v="2"/>
    <n v="2"/>
    <n v="25"/>
    <n v="30.75"/>
    <n v="50"/>
    <x v="0"/>
    <n v="11"/>
    <x v="0"/>
    <n v="5"/>
    <x v="0"/>
    <x v="0"/>
    <n v="19.25"/>
    <n v="0.38500000000000001"/>
    <n v="0"/>
  </r>
  <r>
    <n v="1959"/>
    <d v="2022-10-08T00:00:00"/>
    <d v="1899-12-30T19:56:00"/>
    <n v="95"/>
    <x v="1"/>
    <x v="25"/>
    <x v="2"/>
    <n v="2"/>
    <n v="30"/>
    <n v="34.200000000000003"/>
    <n v="60"/>
    <x v="0"/>
    <n v="10"/>
    <x v="5"/>
    <n v="8"/>
    <x v="0"/>
    <x v="0"/>
    <n v="25.8"/>
    <n v="0.43"/>
    <n v="0"/>
  </r>
  <r>
    <n v="1998"/>
    <d v="2023-10-20T00:00:00"/>
    <d v="1899-12-30T19:53:00"/>
    <n v="90"/>
    <x v="1"/>
    <x v="8"/>
    <x v="1"/>
    <n v="4"/>
    <n v="25"/>
    <n v="24"/>
    <n v="100"/>
    <x v="1"/>
    <n v="10"/>
    <x v="5"/>
    <n v="20"/>
    <x v="3"/>
    <x v="0"/>
    <n v="76"/>
    <n v="0.76"/>
    <n v="0"/>
  </r>
  <r>
    <n v="12"/>
    <d v="2022-12-09T00:00:00"/>
    <d v="1899-12-30T22:09:00"/>
    <n v="114"/>
    <x v="0"/>
    <x v="39"/>
    <x v="1"/>
    <n v="3"/>
    <n v="25"/>
    <n v="25.25"/>
    <n v="75"/>
    <x v="0"/>
    <n v="12"/>
    <x v="2"/>
    <n v="9"/>
    <x v="3"/>
    <x v="0"/>
    <n v="49.75"/>
    <n v="0.66333333299999997"/>
    <n v="0"/>
  </r>
  <r>
    <n v="1012"/>
    <d v="2022-12-08T00:00:00"/>
    <d v="1899-12-30T18:47:00"/>
    <n v="56"/>
    <x v="0"/>
    <x v="39"/>
    <x v="1"/>
    <n v="3"/>
    <n v="25"/>
    <n v="27.25"/>
    <n v="75"/>
    <x v="0"/>
    <n v="12"/>
    <x v="2"/>
    <n v="8"/>
    <x v="2"/>
    <x v="0"/>
    <n v="47.75"/>
    <n v="0.63666666699999996"/>
    <n v="0"/>
  </r>
  <r>
    <n v="710"/>
    <d v="2022-09-03T00:00:00"/>
    <d v="1899-12-30T21:11:00"/>
    <n v="71"/>
    <x v="1"/>
    <x v="6"/>
    <x v="2"/>
    <n v="3"/>
    <n v="500"/>
    <n v="495"/>
    <n v="1500"/>
    <x v="0"/>
    <n v="9"/>
    <x v="9"/>
    <n v="3"/>
    <x v="0"/>
    <x v="1"/>
    <n v="1005"/>
    <n v="0.67"/>
    <n v="1"/>
  </r>
  <r>
    <n v="776"/>
    <d v="2023-09-08T00:00:00"/>
    <d v="1899-12-30T18:57:00"/>
    <n v="109"/>
    <x v="0"/>
    <x v="39"/>
    <x v="0"/>
    <n v="3"/>
    <n v="30"/>
    <n v="30.9"/>
    <n v="90"/>
    <x v="1"/>
    <n v="9"/>
    <x v="9"/>
    <n v="8"/>
    <x v="3"/>
    <x v="1"/>
    <n v="59.1"/>
    <n v="0.65666666699999998"/>
    <n v="0"/>
  </r>
  <r>
    <n v="817"/>
    <d v="2022-10-05T00:00:00"/>
    <d v="1899-12-30T21:12:00"/>
    <n v="87"/>
    <x v="0"/>
    <x v="7"/>
    <x v="1"/>
    <n v="4"/>
    <n v="50"/>
    <n v="49"/>
    <n v="200"/>
    <x v="0"/>
    <n v="10"/>
    <x v="5"/>
    <n v="5"/>
    <x v="4"/>
    <x v="0"/>
    <n v="151"/>
    <n v="0.755"/>
    <n v="1"/>
  </r>
  <r>
    <n v="1710"/>
    <d v="2022-10-23T00:00:00"/>
    <d v="1899-12-30T20:14:00"/>
    <n v="104"/>
    <x v="1"/>
    <x v="6"/>
    <x v="2"/>
    <n v="3"/>
    <n v="500"/>
    <n v="610"/>
    <n v="1500"/>
    <x v="0"/>
    <n v="10"/>
    <x v="5"/>
    <n v="23"/>
    <x v="5"/>
    <x v="0"/>
    <n v="890"/>
    <n v="0.59333333300000002"/>
    <n v="1"/>
  </r>
  <r>
    <n v="1776"/>
    <d v="2022-10-23T00:00:00"/>
    <d v="1899-12-30T20:07:00"/>
    <n v="111"/>
    <x v="0"/>
    <x v="39"/>
    <x v="0"/>
    <n v="3"/>
    <n v="30"/>
    <n v="32.1"/>
    <n v="90"/>
    <x v="0"/>
    <n v="10"/>
    <x v="5"/>
    <n v="23"/>
    <x v="5"/>
    <x v="0"/>
    <n v="57.9"/>
    <n v="0.64333333299999995"/>
    <n v="0"/>
  </r>
  <r>
    <n v="1817"/>
    <d v="2022-09-11T00:00:00"/>
    <d v="1899-12-30T21:22:00"/>
    <n v="82"/>
    <x v="0"/>
    <x v="7"/>
    <x v="1"/>
    <n v="4"/>
    <n v="50"/>
    <n v="50"/>
    <n v="200"/>
    <x v="0"/>
    <n v="9"/>
    <x v="9"/>
    <n v="11"/>
    <x v="5"/>
    <x v="1"/>
    <n v="150"/>
    <n v="0.75"/>
    <n v="1"/>
  </r>
  <r>
    <n v="334"/>
    <d v="2022-10-16T00:00:00"/>
    <d v="1899-12-30T20:37:00"/>
    <n v="103"/>
    <x v="0"/>
    <x v="16"/>
    <x v="2"/>
    <n v="3"/>
    <n v="300"/>
    <n v="360"/>
    <n v="900"/>
    <x v="0"/>
    <n v="10"/>
    <x v="5"/>
    <n v="16"/>
    <x v="5"/>
    <x v="0"/>
    <n v="540"/>
    <n v="0.6"/>
    <n v="1"/>
  </r>
  <r>
    <n v="343"/>
    <d v="2022-11-09T00:00:00"/>
    <d v="1899-12-30T18:44:00"/>
    <n v="68"/>
    <x v="0"/>
    <x v="40"/>
    <x v="2"/>
    <n v="2"/>
    <n v="25"/>
    <n v="30"/>
    <n v="50"/>
    <x v="0"/>
    <n v="11"/>
    <x v="0"/>
    <n v="9"/>
    <x v="4"/>
    <x v="0"/>
    <n v="20"/>
    <n v="0.4"/>
    <n v="0"/>
  </r>
  <r>
    <n v="628"/>
    <d v="2023-12-23T00:00:00"/>
    <d v="1899-12-30T18:00:00"/>
    <n v="66"/>
    <x v="1"/>
    <x v="4"/>
    <x v="1"/>
    <n v="4"/>
    <n v="50"/>
    <n v="59.5"/>
    <n v="200"/>
    <x v="1"/>
    <n v="12"/>
    <x v="2"/>
    <n v="23"/>
    <x v="0"/>
    <x v="0"/>
    <n v="140.5"/>
    <n v="0.70250000000000001"/>
    <n v="1"/>
  </r>
  <r>
    <n v="983"/>
    <d v="2022-10-10T00:00:00"/>
    <d v="1899-12-30T20:12:00"/>
    <n v="61"/>
    <x v="1"/>
    <x v="33"/>
    <x v="0"/>
    <n v="1"/>
    <n v="300"/>
    <n v="345"/>
    <n v="300"/>
    <x v="0"/>
    <n v="10"/>
    <x v="5"/>
    <n v="10"/>
    <x v="1"/>
    <x v="0"/>
    <n v="-45"/>
    <n v="-0.15"/>
    <n v="1"/>
  </r>
  <r>
    <n v="1334"/>
    <d v="2022-09-21T00:00:00"/>
    <d v="1899-12-30T20:37:00"/>
    <n v="60"/>
    <x v="0"/>
    <x v="16"/>
    <x v="2"/>
    <n v="3"/>
    <n v="300"/>
    <n v="366"/>
    <n v="900"/>
    <x v="0"/>
    <n v="9"/>
    <x v="9"/>
    <n v="21"/>
    <x v="4"/>
    <x v="1"/>
    <n v="534"/>
    <n v="0.59333333300000002"/>
    <n v="1"/>
  </r>
  <r>
    <n v="1343"/>
    <d v="2023-10-21T00:00:00"/>
    <d v="1899-12-30T20:10:00"/>
    <n v="87"/>
    <x v="0"/>
    <x v="40"/>
    <x v="2"/>
    <n v="2"/>
    <n v="25"/>
    <n v="28.5"/>
    <n v="50"/>
    <x v="1"/>
    <n v="10"/>
    <x v="5"/>
    <n v="21"/>
    <x v="0"/>
    <x v="0"/>
    <n v="21.5"/>
    <n v="0.43"/>
    <n v="0"/>
  </r>
  <r>
    <n v="1628"/>
    <d v="2022-12-28T00:00:00"/>
    <d v="1899-12-30T22:23:00"/>
    <n v="51"/>
    <x v="1"/>
    <x v="4"/>
    <x v="1"/>
    <n v="4"/>
    <n v="50"/>
    <n v="58.5"/>
    <n v="200"/>
    <x v="0"/>
    <n v="12"/>
    <x v="2"/>
    <n v="28"/>
    <x v="4"/>
    <x v="0"/>
    <n v="141.5"/>
    <n v="0.70750000000000002"/>
    <n v="1"/>
  </r>
  <r>
    <n v="1983"/>
    <d v="2022-12-21T00:00:00"/>
    <d v="1899-12-30T21:38:00"/>
    <n v="114"/>
    <x v="1"/>
    <x v="33"/>
    <x v="0"/>
    <n v="1"/>
    <n v="300"/>
    <n v="303"/>
    <n v="300"/>
    <x v="0"/>
    <n v="12"/>
    <x v="2"/>
    <n v="21"/>
    <x v="4"/>
    <x v="0"/>
    <n v="-3"/>
    <n v="-0.01"/>
    <n v="1"/>
  </r>
  <r>
    <n v="141"/>
    <d v="2022-11-01T00:00:00"/>
    <d v="1899-12-30T19:26:00"/>
    <n v="54"/>
    <x v="1"/>
    <x v="30"/>
    <x v="2"/>
    <n v="1"/>
    <n v="50"/>
    <n v="59"/>
    <n v="50"/>
    <x v="0"/>
    <n v="11"/>
    <x v="0"/>
    <n v="1"/>
    <x v="6"/>
    <x v="0"/>
    <n v="-9"/>
    <n v="-0.18"/>
    <n v="0"/>
  </r>
  <r>
    <n v="145"/>
    <d v="2022-11-06T00:00:00"/>
    <d v="1899-12-30T19:21:00"/>
    <n v="64"/>
    <x v="1"/>
    <x v="27"/>
    <x v="0"/>
    <n v="3"/>
    <n v="25"/>
    <n v="27.5"/>
    <n v="75"/>
    <x v="0"/>
    <n v="11"/>
    <x v="0"/>
    <n v="6"/>
    <x v="5"/>
    <x v="0"/>
    <n v="47.5"/>
    <n v="0.63333333300000005"/>
    <n v="0"/>
  </r>
  <r>
    <n v="507"/>
    <d v="2022-12-11T00:00:00"/>
    <d v="1899-12-30T21:40:00"/>
    <n v="52"/>
    <x v="1"/>
    <x v="5"/>
    <x v="2"/>
    <n v="3"/>
    <n v="500"/>
    <n v="485"/>
    <n v="1500"/>
    <x v="0"/>
    <n v="12"/>
    <x v="2"/>
    <n v="11"/>
    <x v="5"/>
    <x v="0"/>
    <n v="1015"/>
    <n v="0.676666667"/>
    <n v="1"/>
  </r>
  <r>
    <n v="841"/>
    <d v="2022-12-18T00:00:00"/>
    <d v="1899-12-30T20:58:00"/>
    <n v="108"/>
    <x v="0"/>
    <x v="16"/>
    <x v="2"/>
    <n v="4"/>
    <n v="25"/>
    <n v="28.5"/>
    <n v="100"/>
    <x v="0"/>
    <n v="12"/>
    <x v="2"/>
    <n v="18"/>
    <x v="5"/>
    <x v="0"/>
    <n v="71.5"/>
    <n v="0.71499999999999997"/>
    <n v="0"/>
  </r>
  <r>
    <n v="898"/>
    <d v="2023-09-17T00:00:00"/>
    <d v="1899-12-30T20:55:00"/>
    <n v="53"/>
    <x v="1"/>
    <x v="25"/>
    <x v="0"/>
    <n v="3"/>
    <n v="30"/>
    <n v="35.1"/>
    <n v="90"/>
    <x v="1"/>
    <n v="9"/>
    <x v="9"/>
    <n v="17"/>
    <x v="5"/>
    <x v="1"/>
    <n v="54.9"/>
    <n v="0.61"/>
    <n v="0"/>
  </r>
  <r>
    <n v="951"/>
    <d v="2022-09-18T00:00:00"/>
    <d v="1899-12-30T21:35:00"/>
    <n v="58"/>
    <x v="0"/>
    <x v="19"/>
    <x v="1"/>
    <n v="2"/>
    <n v="50"/>
    <n v="57.5"/>
    <n v="100"/>
    <x v="0"/>
    <n v="9"/>
    <x v="9"/>
    <n v="18"/>
    <x v="5"/>
    <x v="1"/>
    <n v="42.5"/>
    <n v="0.42499999999999999"/>
    <n v="0"/>
  </r>
  <r>
    <n v="1141"/>
    <d v="2023-09-17T00:00:00"/>
    <d v="1899-12-30T19:13:00"/>
    <n v="65"/>
    <x v="1"/>
    <x v="30"/>
    <x v="2"/>
    <n v="1"/>
    <n v="50"/>
    <n v="58"/>
    <n v="50"/>
    <x v="1"/>
    <n v="9"/>
    <x v="9"/>
    <n v="17"/>
    <x v="5"/>
    <x v="1"/>
    <n v="-8"/>
    <n v="-0.16"/>
    <n v="0"/>
  </r>
  <r>
    <n v="1145"/>
    <d v="2023-09-01T00:00:00"/>
    <d v="1899-12-30T19:19:00"/>
    <n v="87"/>
    <x v="1"/>
    <x v="27"/>
    <x v="0"/>
    <n v="3"/>
    <n v="25"/>
    <n v="31"/>
    <n v="75"/>
    <x v="1"/>
    <n v="9"/>
    <x v="9"/>
    <n v="1"/>
    <x v="3"/>
    <x v="1"/>
    <n v="44"/>
    <n v="0.58666666700000003"/>
    <n v="0"/>
  </r>
  <r>
    <n v="1507"/>
    <d v="2022-12-27T00:00:00"/>
    <d v="1899-12-30T22:14:00"/>
    <n v="95"/>
    <x v="1"/>
    <x v="5"/>
    <x v="2"/>
    <n v="3"/>
    <n v="500"/>
    <n v="520"/>
    <n v="1500"/>
    <x v="0"/>
    <n v="12"/>
    <x v="2"/>
    <n v="27"/>
    <x v="6"/>
    <x v="0"/>
    <n v="980"/>
    <n v="0.65333333299999996"/>
    <n v="1"/>
  </r>
  <r>
    <n v="1841"/>
    <d v="2023-11-14T00:00:00"/>
    <d v="1899-12-30T18:55:00"/>
    <n v="94"/>
    <x v="0"/>
    <x v="16"/>
    <x v="2"/>
    <n v="4"/>
    <n v="25"/>
    <n v="28.25"/>
    <n v="100"/>
    <x v="1"/>
    <n v="11"/>
    <x v="0"/>
    <n v="14"/>
    <x v="6"/>
    <x v="0"/>
    <n v="71.75"/>
    <n v="0.71750000000000003"/>
    <n v="0"/>
  </r>
  <r>
    <n v="1898"/>
    <d v="2023-11-13T00:00:00"/>
    <d v="1899-12-30T18:17:00"/>
    <n v="81"/>
    <x v="1"/>
    <x v="25"/>
    <x v="0"/>
    <n v="3"/>
    <n v="30"/>
    <n v="35.1"/>
    <n v="90"/>
    <x v="1"/>
    <n v="11"/>
    <x v="0"/>
    <n v="13"/>
    <x v="1"/>
    <x v="0"/>
    <n v="54.9"/>
    <n v="0.61"/>
    <n v="0"/>
  </r>
  <r>
    <n v="1951"/>
    <d v="2022-12-03T00:00:00"/>
    <d v="1899-12-30T18:56:00"/>
    <n v="54"/>
    <x v="0"/>
    <x v="19"/>
    <x v="1"/>
    <n v="2"/>
    <n v="50"/>
    <n v="59.5"/>
    <n v="100"/>
    <x v="0"/>
    <n v="12"/>
    <x v="2"/>
    <n v="3"/>
    <x v="0"/>
    <x v="0"/>
    <n v="40.5"/>
    <n v="0.40500000000000003"/>
    <n v="0"/>
  </r>
  <r>
    <n v="181"/>
    <d v="2023-11-06T00:00:00"/>
    <d v="1899-12-30T19:59:00"/>
    <n v="79"/>
    <x v="0"/>
    <x v="4"/>
    <x v="2"/>
    <n v="4"/>
    <n v="300"/>
    <n v="327"/>
    <n v="1200"/>
    <x v="1"/>
    <n v="11"/>
    <x v="0"/>
    <n v="6"/>
    <x v="1"/>
    <x v="0"/>
    <n v="873"/>
    <n v="0.72750000000000004"/>
    <n v="1"/>
  </r>
  <r>
    <n v="1181"/>
    <d v="2022-11-06T00:00:00"/>
    <d v="1899-12-30T18:28:00"/>
    <n v="84"/>
    <x v="0"/>
    <x v="4"/>
    <x v="2"/>
    <n v="4"/>
    <n v="300"/>
    <n v="354"/>
    <n v="1200"/>
    <x v="0"/>
    <n v="11"/>
    <x v="0"/>
    <n v="6"/>
    <x v="5"/>
    <x v="0"/>
    <n v="846"/>
    <n v="0.70499999999999996"/>
    <n v="1"/>
  </r>
  <r>
    <n v="784"/>
    <d v="2023-10-18T00:00:00"/>
    <d v="1899-12-30T22:44:00"/>
    <n v="71"/>
    <x v="1"/>
    <x v="23"/>
    <x v="2"/>
    <n v="1"/>
    <n v="500"/>
    <n v="610"/>
    <n v="500"/>
    <x v="1"/>
    <n v="10"/>
    <x v="5"/>
    <n v="18"/>
    <x v="4"/>
    <x v="0"/>
    <n v="-110"/>
    <n v="-0.22"/>
    <n v="1"/>
  </r>
  <r>
    <n v="1784"/>
    <d v="2023-12-28T00:00:00"/>
    <d v="1899-12-30T20:58:00"/>
    <n v="100"/>
    <x v="1"/>
    <x v="23"/>
    <x v="2"/>
    <n v="1"/>
    <n v="500"/>
    <n v="500"/>
    <n v="500"/>
    <x v="1"/>
    <n v="12"/>
    <x v="2"/>
    <n v="28"/>
    <x v="2"/>
    <x v="0"/>
    <n v="0"/>
    <n v="0"/>
    <n v="1"/>
  </r>
  <r>
    <n v="20"/>
    <d v="2023-12-12T00:00:00"/>
    <d v="1899-12-30T21:35:00"/>
    <n v="85"/>
    <x v="0"/>
    <x v="30"/>
    <x v="0"/>
    <n v="3"/>
    <n v="300"/>
    <n v="345"/>
    <n v="900"/>
    <x v="1"/>
    <n v="12"/>
    <x v="2"/>
    <n v="12"/>
    <x v="6"/>
    <x v="0"/>
    <n v="555"/>
    <n v="0.61666666699999995"/>
    <n v="1"/>
  </r>
  <r>
    <n v="690"/>
    <d v="2023-12-19T00:00:00"/>
    <d v="1899-12-30T18:39:00"/>
    <n v="91"/>
    <x v="1"/>
    <x v="41"/>
    <x v="0"/>
    <n v="3"/>
    <n v="300"/>
    <n v="324"/>
    <n v="900"/>
    <x v="1"/>
    <n v="12"/>
    <x v="2"/>
    <n v="19"/>
    <x v="6"/>
    <x v="0"/>
    <n v="576"/>
    <n v="0.64"/>
    <n v="1"/>
  </r>
  <r>
    <n v="1020"/>
    <d v="2022-11-22T00:00:00"/>
    <d v="1899-12-30T18:30:00"/>
    <n v="86"/>
    <x v="0"/>
    <x v="30"/>
    <x v="0"/>
    <n v="3"/>
    <n v="300"/>
    <n v="300"/>
    <n v="900"/>
    <x v="0"/>
    <n v="11"/>
    <x v="0"/>
    <n v="22"/>
    <x v="6"/>
    <x v="0"/>
    <n v="600"/>
    <n v="0.66666666699999999"/>
    <n v="1"/>
  </r>
  <r>
    <n v="1690"/>
    <d v="2023-09-05T00:00:00"/>
    <d v="1899-12-30T17:36:00"/>
    <n v="101"/>
    <x v="1"/>
    <x v="41"/>
    <x v="0"/>
    <n v="3"/>
    <n v="300"/>
    <n v="369"/>
    <n v="900"/>
    <x v="1"/>
    <n v="9"/>
    <x v="9"/>
    <n v="5"/>
    <x v="6"/>
    <x v="1"/>
    <n v="531"/>
    <n v="0.59"/>
    <n v="1"/>
  </r>
  <r>
    <n v="47"/>
    <d v="2022-10-22T00:00:00"/>
    <d v="1899-12-30T17:22:00"/>
    <n v="96"/>
    <x v="1"/>
    <x v="2"/>
    <x v="1"/>
    <n v="3"/>
    <n v="500"/>
    <n v="600"/>
    <n v="1500"/>
    <x v="0"/>
    <n v="10"/>
    <x v="5"/>
    <n v="22"/>
    <x v="0"/>
    <x v="0"/>
    <n v="900"/>
    <n v="0.6"/>
    <n v="1"/>
  </r>
  <r>
    <n v="405"/>
    <d v="2022-10-17T00:00:00"/>
    <d v="1899-12-30T17:55:00"/>
    <n v="79"/>
    <x v="1"/>
    <x v="38"/>
    <x v="0"/>
    <n v="4"/>
    <n v="300"/>
    <n v="324"/>
    <n v="1200"/>
    <x v="0"/>
    <n v="10"/>
    <x v="5"/>
    <n v="17"/>
    <x v="1"/>
    <x v="0"/>
    <n v="876"/>
    <n v="0.73"/>
    <n v="1"/>
  </r>
  <r>
    <n v="1047"/>
    <d v="2022-12-04T00:00:00"/>
    <d v="1899-12-30T21:53:00"/>
    <n v="84"/>
    <x v="1"/>
    <x v="2"/>
    <x v="1"/>
    <n v="3"/>
    <n v="500"/>
    <n v="490"/>
    <n v="1500"/>
    <x v="0"/>
    <n v="12"/>
    <x v="2"/>
    <n v="4"/>
    <x v="5"/>
    <x v="0"/>
    <n v="1010"/>
    <n v="0.67333333299999998"/>
    <n v="1"/>
  </r>
  <r>
    <n v="1405"/>
    <d v="2023-10-28T00:00:00"/>
    <d v="1899-12-30T20:08:00"/>
    <n v="91"/>
    <x v="1"/>
    <x v="38"/>
    <x v="0"/>
    <n v="4"/>
    <n v="300"/>
    <n v="342"/>
    <n v="1200"/>
    <x v="1"/>
    <n v="10"/>
    <x v="5"/>
    <n v="28"/>
    <x v="0"/>
    <x v="0"/>
    <n v="858"/>
    <n v="0.71499999999999997"/>
    <n v="1"/>
  </r>
  <r>
    <n v="205"/>
    <d v="2022-11-22T00:00:00"/>
    <d v="1899-12-30T17:20:00"/>
    <n v="88"/>
    <x v="1"/>
    <x v="22"/>
    <x v="0"/>
    <n v="1"/>
    <n v="25"/>
    <n v="25.5"/>
    <n v="25"/>
    <x v="0"/>
    <n v="11"/>
    <x v="0"/>
    <n v="22"/>
    <x v="6"/>
    <x v="0"/>
    <n v="-0.5"/>
    <n v="-0.02"/>
    <n v="0"/>
  </r>
  <r>
    <n v="512"/>
    <d v="2022-12-06T00:00:00"/>
    <d v="1899-12-30T18:00:00"/>
    <n v="56"/>
    <x v="1"/>
    <x v="10"/>
    <x v="1"/>
    <n v="1"/>
    <n v="25"/>
    <n v="9.5"/>
    <n v="25"/>
    <x v="0"/>
    <n v="12"/>
    <x v="2"/>
    <n v="6"/>
    <x v="6"/>
    <x v="0"/>
    <n v="15.5"/>
    <n v="0.62"/>
    <n v="0"/>
  </r>
  <r>
    <n v="565"/>
    <d v="2023-09-05T00:00:00"/>
    <d v="1899-12-30T20:24:00"/>
    <n v="75"/>
    <x v="1"/>
    <x v="14"/>
    <x v="1"/>
    <n v="2"/>
    <n v="30"/>
    <n v="9"/>
    <n v="60"/>
    <x v="1"/>
    <n v="9"/>
    <x v="9"/>
    <n v="5"/>
    <x v="6"/>
    <x v="1"/>
    <n v="51"/>
    <n v="0.85"/>
    <n v="0"/>
  </r>
  <r>
    <n v="761"/>
    <d v="2022-11-14T00:00:00"/>
    <d v="1899-12-30T22:16:00"/>
    <n v="64"/>
    <x v="1"/>
    <x v="19"/>
    <x v="0"/>
    <n v="1"/>
    <n v="500"/>
    <n v="275"/>
    <n v="500"/>
    <x v="0"/>
    <n v="11"/>
    <x v="0"/>
    <n v="14"/>
    <x v="1"/>
    <x v="0"/>
    <n v="225"/>
    <n v="0.45"/>
    <n v="1"/>
  </r>
  <r>
    <n v="762"/>
    <d v="2023-11-27T00:00:00"/>
    <d v="1899-12-30T17:49:00"/>
    <n v="56"/>
    <x v="1"/>
    <x v="24"/>
    <x v="2"/>
    <n v="2"/>
    <n v="25"/>
    <n v="10.25"/>
    <n v="50"/>
    <x v="1"/>
    <n v="11"/>
    <x v="0"/>
    <n v="27"/>
    <x v="1"/>
    <x v="0"/>
    <n v="39.75"/>
    <n v="0.79500000000000004"/>
    <n v="0"/>
  </r>
  <r>
    <n v="950"/>
    <d v="2022-09-22T00:00:00"/>
    <d v="1899-12-30T21:27:00"/>
    <n v="75"/>
    <x v="0"/>
    <x v="31"/>
    <x v="0"/>
    <n v="3"/>
    <n v="300"/>
    <n v="144"/>
    <n v="900"/>
    <x v="0"/>
    <n v="9"/>
    <x v="9"/>
    <n v="22"/>
    <x v="2"/>
    <x v="1"/>
    <n v="756"/>
    <n v="0.84"/>
    <n v="1"/>
  </r>
  <r>
    <n v="1205"/>
    <d v="2022-11-25T00:00:00"/>
    <d v="1899-12-30T19:19:00"/>
    <n v="97"/>
    <x v="1"/>
    <x v="22"/>
    <x v="0"/>
    <n v="1"/>
    <n v="25"/>
    <n v="7.25"/>
    <n v="25"/>
    <x v="0"/>
    <n v="11"/>
    <x v="0"/>
    <n v="25"/>
    <x v="3"/>
    <x v="0"/>
    <n v="17.75"/>
    <n v="0.71"/>
    <n v="0"/>
  </r>
  <r>
    <n v="1512"/>
    <d v="2023-12-20T00:00:00"/>
    <d v="1899-12-30T20:05:00"/>
    <n v="105"/>
    <x v="1"/>
    <x v="10"/>
    <x v="1"/>
    <n v="1"/>
    <n v="25"/>
    <n v="13.25"/>
    <n v="25"/>
    <x v="1"/>
    <n v="12"/>
    <x v="2"/>
    <n v="20"/>
    <x v="4"/>
    <x v="0"/>
    <n v="11.75"/>
    <n v="0.47"/>
    <n v="0"/>
  </r>
  <r>
    <n v="1565"/>
    <d v="2023-09-04T00:00:00"/>
    <d v="1899-12-30T20:45:00"/>
    <n v="74"/>
    <x v="1"/>
    <x v="14"/>
    <x v="1"/>
    <n v="2"/>
    <n v="30"/>
    <n v="11.1"/>
    <n v="60"/>
    <x v="1"/>
    <n v="9"/>
    <x v="9"/>
    <n v="4"/>
    <x v="1"/>
    <x v="1"/>
    <n v="48.9"/>
    <n v="0.81499999999999995"/>
    <n v="0"/>
  </r>
  <r>
    <n v="1761"/>
    <d v="2023-12-09T00:00:00"/>
    <d v="1899-12-30T18:46:00"/>
    <n v="72"/>
    <x v="1"/>
    <x v="19"/>
    <x v="0"/>
    <n v="1"/>
    <n v="500"/>
    <n v="200"/>
    <n v="500"/>
    <x v="1"/>
    <n v="12"/>
    <x v="2"/>
    <n v="9"/>
    <x v="0"/>
    <x v="0"/>
    <n v="300"/>
    <n v="0.6"/>
    <n v="1"/>
  </r>
  <r>
    <n v="1762"/>
    <d v="2023-11-15T00:00:00"/>
    <d v="1899-12-30T18:43:00"/>
    <n v="81"/>
    <x v="1"/>
    <x v="24"/>
    <x v="2"/>
    <n v="2"/>
    <n v="25"/>
    <n v="11"/>
    <n v="50"/>
    <x v="1"/>
    <n v="11"/>
    <x v="0"/>
    <n v="15"/>
    <x v="4"/>
    <x v="0"/>
    <n v="39"/>
    <n v="0.78"/>
    <n v="0"/>
  </r>
  <r>
    <n v="1950"/>
    <d v="2022-12-04T00:00:00"/>
    <d v="1899-12-30T19:23:00"/>
    <n v="50"/>
    <x v="0"/>
    <x v="31"/>
    <x v="0"/>
    <n v="3"/>
    <n v="300"/>
    <n v="84"/>
    <n v="900"/>
    <x v="0"/>
    <n v="12"/>
    <x v="2"/>
    <n v="4"/>
    <x v="5"/>
    <x v="0"/>
    <n v="816"/>
    <n v="0.90666666699999998"/>
    <n v="1"/>
  </r>
  <r>
    <n v="86"/>
    <d v="2023-09-29T00:00:00"/>
    <d v="1899-12-30T18:55:00"/>
    <n v="69"/>
    <x v="0"/>
    <x v="4"/>
    <x v="1"/>
    <n v="3"/>
    <n v="30"/>
    <n v="15.6"/>
    <n v="90"/>
    <x v="1"/>
    <n v="9"/>
    <x v="9"/>
    <n v="29"/>
    <x v="3"/>
    <x v="1"/>
    <n v="74.400000000000006"/>
    <n v="0.82666666700000002"/>
    <n v="0"/>
  </r>
  <r>
    <n v="173"/>
    <d v="2023-12-19T00:00:00"/>
    <d v="1899-12-30T17:30:00"/>
    <n v="85"/>
    <x v="0"/>
    <x v="3"/>
    <x v="2"/>
    <n v="4"/>
    <n v="30"/>
    <n v="14.1"/>
    <n v="120"/>
    <x v="1"/>
    <n v="12"/>
    <x v="2"/>
    <n v="19"/>
    <x v="6"/>
    <x v="0"/>
    <n v="105.9"/>
    <n v="0.88249999999999995"/>
    <n v="0"/>
  </r>
  <r>
    <n v="1086"/>
    <d v="2023-09-14T00:00:00"/>
    <d v="1899-12-30T19:50:00"/>
    <n v="84"/>
    <x v="0"/>
    <x v="4"/>
    <x v="1"/>
    <n v="3"/>
    <n v="30"/>
    <n v="16.5"/>
    <n v="90"/>
    <x v="1"/>
    <n v="9"/>
    <x v="9"/>
    <n v="14"/>
    <x v="2"/>
    <x v="1"/>
    <n v="73.5"/>
    <n v="0.81666666700000001"/>
    <n v="0"/>
  </r>
  <r>
    <n v="1173"/>
    <d v="2022-12-04T00:00:00"/>
    <d v="1899-12-30T21:03:00"/>
    <n v="70"/>
    <x v="0"/>
    <x v="3"/>
    <x v="2"/>
    <n v="4"/>
    <n v="30"/>
    <n v="15"/>
    <n v="120"/>
    <x v="0"/>
    <n v="12"/>
    <x v="2"/>
    <n v="4"/>
    <x v="5"/>
    <x v="0"/>
    <n v="105"/>
    <n v="0.875"/>
    <n v="0"/>
  </r>
  <r>
    <n v="595"/>
    <d v="2022-10-15T00:00:00"/>
    <d v="1899-12-30T21:35:00"/>
    <n v="65"/>
    <x v="1"/>
    <x v="18"/>
    <x v="0"/>
    <n v="4"/>
    <n v="500"/>
    <n v="210"/>
    <n v="2000"/>
    <x v="0"/>
    <n v="10"/>
    <x v="5"/>
    <n v="15"/>
    <x v="0"/>
    <x v="0"/>
    <n v="1790"/>
    <n v="0.89500000000000002"/>
    <n v="1"/>
  </r>
  <r>
    <n v="827"/>
    <d v="2023-10-28T00:00:00"/>
    <d v="1899-12-30T19:24:00"/>
    <n v="96"/>
    <x v="0"/>
    <x v="45"/>
    <x v="1"/>
    <n v="3"/>
    <n v="300"/>
    <n v="165"/>
    <n v="900"/>
    <x v="1"/>
    <n v="10"/>
    <x v="5"/>
    <n v="28"/>
    <x v="0"/>
    <x v="0"/>
    <n v="735"/>
    <n v="0.81666666700000001"/>
    <n v="1"/>
  </r>
  <r>
    <n v="965"/>
    <d v="2022-11-27T00:00:00"/>
    <d v="1899-12-30T21:45:00"/>
    <n v="84"/>
    <x v="0"/>
    <x v="30"/>
    <x v="0"/>
    <n v="4"/>
    <n v="50"/>
    <n v="13"/>
    <n v="200"/>
    <x v="0"/>
    <n v="11"/>
    <x v="0"/>
    <n v="27"/>
    <x v="5"/>
    <x v="0"/>
    <n v="187"/>
    <n v="0.93500000000000005"/>
    <n v="1"/>
  </r>
  <r>
    <n v="1595"/>
    <d v="2023-10-04T00:00:00"/>
    <d v="1899-12-30T17:44:00"/>
    <n v="115"/>
    <x v="1"/>
    <x v="18"/>
    <x v="0"/>
    <n v="4"/>
    <n v="500"/>
    <n v="255"/>
    <n v="2000"/>
    <x v="1"/>
    <n v="10"/>
    <x v="5"/>
    <n v="4"/>
    <x v="4"/>
    <x v="0"/>
    <n v="1745"/>
    <n v="0.87250000000000005"/>
    <n v="1"/>
  </r>
  <r>
    <n v="1827"/>
    <d v="2022-11-09T00:00:00"/>
    <d v="1899-12-30T20:02:00"/>
    <n v="62"/>
    <x v="0"/>
    <x v="45"/>
    <x v="1"/>
    <n v="3"/>
    <n v="300"/>
    <n v="132"/>
    <n v="900"/>
    <x v="0"/>
    <n v="11"/>
    <x v="0"/>
    <n v="9"/>
    <x v="4"/>
    <x v="0"/>
    <n v="768"/>
    <n v="0.85333333300000003"/>
    <n v="1"/>
  </r>
  <r>
    <n v="1965"/>
    <d v="2022-12-12T00:00:00"/>
    <d v="1899-12-30T20:03:00"/>
    <n v="93"/>
    <x v="0"/>
    <x v="30"/>
    <x v="0"/>
    <n v="4"/>
    <n v="50"/>
    <n v="21.5"/>
    <n v="200"/>
    <x v="0"/>
    <n v="12"/>
    <x v="2"/>
    <n v="12"/>
    <x v="1"/>
    <x v="0"/>
    <n v="178.5"/>
    <n v="0.89249999999999996"/>
    <n v="1"/>
  </r>
  <r>
    <n v="388"/>
    <d v="2022-12-03T00:00:00"/>
    <d v="1899-12-30T19:04:00"/>
    <n v="60"/>
    <x v="0"/>
    <x v="20"/>
    <x v="2"/>
    <n v="1"/>
    <n v="25"/>
    <n v="12.25"/>
    <n v="25"/>
    <x v="0"/>
    <n v="12"/>
    <x v="2"/>
    <n v="3"/>
    <x v="0"/>
    <x v="0"/>
    <n v="12.75"/>
    <n v="0.51"/>
    <n v="0"/>
  </r>
  <r>
    <n v="631"/>
    <d v="2023-10-22T00:00:00"/>
    <d v="1899-12-30T22:18:00"/>
    <n v="92"/>
    <x v="0"/>
    <x v="34"/>
    <x v="2"/>
    <n v="3"/>
    <n v="30"/>
    <n v="16.5"/>
    <n v="90"/>
    <x v="1"/>
    <n v="10"/>
    <x v="5"/>
    <n v="22"/>
    <x v="5"/>
    <x v="0"/>
    <n v="73.5"/>
    <n v="0.81666666700000001"/>
    <n v="0"/>
  </r>
  <r>
    <n v="1388"/>
    <d v="2023-10-13T00:00:00"/>
    <d v="1899-12-30T18:12:00"/>
    <n v="89"/>
    <x v="0"/>
    <x v="20"/>
    <x v="2"/>
    <n v="1"/>
    <n v="25"/>
    <n v="6.75"/>
    <n v="25"/>
    <x v="1"/>
    <n v="10"/>
    <x v="5"/>
    <n v="13"/>
    <x v="3"/>
    <x v="0"/>
    <n v="18.25"/>
    <n v="0.73"/>
    <n v="0"/>
  </r>
  <r>
    <n v="1631"/>
    <d v="2022-11-01T00:00:00"/>
    <d v="1899-12-30T19:11:00"/>
    <n v="75"/>
    <x v="0"/>
    <x v="34"/>
    <x v="2"/>
    <n v="3"/>
    <n v="30"/>
    <n v="12.3"/>
    <n v="90"/>
    <x v="0"/>
    <n v="11"/>
    <x v="0"/>
    <n v="1"/>
    <x v="6"/>
    <x v="0"/>
    <n v="77.7"/>
    <n v="0.86333333300000004"/>
    <n v="0"/>
  </r>
  <r>
    <n v="554"/>
    <d v="2022-12-06T00:00:00"/>
    <d v="1899-12-30T21:04:00"/>
    <n v="94"/>
    <x v="1"/>
    <x v="1"/>
    <x v="1"/>
    <n v="3"/>
    <n v="50"/>
    <n v="13"/>
    <n v="150"/>
    <x v="0"/>
    <n v="12"/>
    <x v="2"/>
    <n v="6"/>
    <x v="6"/>
    <x v="0"/>
    <n v="137"/>
    <n v="0.91333333299999997"/>
    <n v="1"/>
  </r>
  <r>
    <n v="812"/>
    <d v="2023-10-02T00:00:00"/>
    <d v="1899-12-30T17:45:00"/>
    <n v="89"/>
    <x v="0"/>
    <x v="4"/>
    <x v="2"/>
    <n v="3"/>
    <n v="25"/>
    <n v="11.25"/>
    <n v="75"/>
    <x v="1"/>
    <n v="10"/>
    <x v="5"/>
    <n v="2"/>
    <x v="1"/>
    <x v="0"/>
    <n v="63.75"/>
    <n v="0.85"/>
    <n v="0"/>
  </r>
  <r>
    <n v="1554"/>
    <d v="2023-11-27T00:00:00"/>
    <d v="1899-12-30T19:55:00"/>
    <n v="83"/>
    <x v="1"/>
    <x v="1"/>
    <x v="1"/>
    <n v="3"/>
    <n v="50"/>
    <n v="15.5"/>
    <n v="150"/>
    <x v="1"/>
    <n v="11"/>
    <x v="0"/>
    <n v="27"/>
    <x v="1"/>
    <x v="0"/>
    <n v="134.5"/>
    <n v="0.89666666699999997"/>
    <n v="1"/>
  </r>
  <r>
    <n v="1812"/>
    <d v="2023-10-25T00:00:00"/>
    <d v="1899-12-30T22:19:00"/>
    <n v="85"/>
    <x v="0"/>
    <x v="4"/>
    <x v="2"/>
    <n v="3"/>
    <n v="25"/>
    <n v="12"/>
    <n v="75"/>
    <x v="1"/>
    <n v="10"/>
    <x v="5"/>
    <n v="25"/>
    <x v="4"/>
    <x v="0"/>
    <n v="63"/>
    <n v="0.84"/>
    <n v="0"/>
  </r>
  <r>
    <n v="58"/>
    <d v="2023-09-16T00:00:00"/>
    <d v="1899-12-30T19:18:00"/>
    <n v="53"/>
    <x v="0"/>
    <x v="18"/>
    <x v="0"/>
    <n v="4"/>
    <n v="300"/>
    <n v="75"/>
    <n v="1200"/>
    <x v="1"/>
    <n v="9"/>
    <x v="9"/>
    <n v="16"/>
    <x v="0"/>
    <x v="1"/>
    <n v="1125"/>
    <n v="0.9375"/>
    <n v="1"/>
  </r>
  <r>
    <n v="952"/>
    <d v="2022-12-21T00:00:00"/>
    <d v="1899-12-30T18:09:00"/>
    <n v="69"/>
    <x v="1"/>
    <x v="10"/>
    <x v="0"/>
    <n v="1"/>
    <n v="25"/>
    <n v="13.25"/>
    <n v="25"/>
    <x v="0"/>
    <n v="12"/>
    <x v="2"/>
    <n v="21"/>
    <x v="4"/>
    <x v="0"/>
    <n v="11.75"/>
    <n v="0.47"/>
    <n v="0"/>
  </r>
  <r>
    <n v="1058"/>
    <d v="2022-10-30T00:00:00"/>
    <d v="1899-12-30T18:31:00"/>
    <n v="100"/>
    <x v="0"/>
    <x v="18"/>
    <x v="0"/>
    <n v="4"/>
    <n v="300"/>
    <n v="153"/>
    <n v="1200"/>
    <x v="0"/>
    <n v="10"/>
    <x v="5"/>
    <n v="30"/>
    <x v="5"/>
    <x v="0"/>
    <n v="1047"/>
    <n v="0.87250000000000005"/>
    <n v="1"/>
  </r>
  <r>
    <n v="1952"/>
    <d v="2022-12-17T00:00:00"/>
    <d v="1899-12-30T22:13:00"/>
    <n v="114"/>
    <x v="1"/>
    <x v="10"/>
    <x v="0"/>
    <n v="1"/>
    <n v="25"/>
    <n v="13.5"/>
    <n v="25"/>
    <x v="0"/>
    <n v="12"/>
    <x v="2"/>
    <n v="17"/>
    <x v="0"/>
    <x v="0"/>
    <n v="11.5"/>
    <n v="0.46"/>
    <n v="0"/>
  </r>
  <r>
    <n v="345"/>
    <d v="2022-12-07T00:00:00"/>
    <d v="1899-12-30T18:56:00"/>
    <n v="104"/>
    <x v="0"/>
    <x v="44"/>
    <x v="2"/>
    <n v="1"/>
    <n v="30"/>
    <n v="13.5"/>
    <n v="30"/>
    <x v="0"/>
    <n v="12"/>
    <x v="2"/>
    <n v="7"/>
    <x v="4"/>
    <x v="0"/>
    <n v="16.5"/>
    <n v="0.55000000000000004"/>
    <n v="0"/>
  </r>
  <r>
    <n v="458"/>
    <d v="2023-11-28T00:00:00"/>
    <d v="1899-12-30T21:35:00"/>
    <n v="110"/>
    <x v="1"/>
    <x v="27"/>
    <x v="2"/>
    <n v="4"/>
    <n v="25"/>
    <n v="7"/>
    <n v="100"/>
    <x v="1"/>
    <n v="11"/>
    <x v="0"/>
    <n v="28"/>
    <x v="6"/>
    <x v="0"/>
    <n v="93"/>
    <n v="0.93"/>
    <n v="0"/>
  </r>
  <r>
    <n v="582"/>
    <d v="2022-09-30T00:00:00"/>
    <d v="1899-12-30T21:38:00"/>
    <n v="110"/>
    <x v="0"/>
    <x v="39"/>
    <x v="0"/>
    <n v="3"/>
    <n v="300"/>
    <n v="75"/>
    <n v="900"/>
    <x v="0"/>
    <n v="9"/>
    <x v="9"/>
    <n v="30"/>
    <x v="3"/>
    <x v="1"/>
    <n v="825"/>
    <n v="0.91666666699999999"/>
    <n v="1"/>
  </r>
  <r>
    <n v="963"/>
    <d v="2023-10-19T00:00:00"/>
    <d v="1899-12-30T18:24:00"/>
    <n v="76"/>
    <x v="1"/>
    <x v="46"/>
    <x v="1"/>
    <n v="1"/>
    <n v="50"/>
    <n v="13"/>
    <n v="50"/>
    <x v="1"/>
    <n v="10"/>
    <x v="5"/>
    <n v="19"/>
    <x v="2"/>
    <x v="0"/>
    <n v="37"/>
    <n v="0.74"/>
    <n v="0"/>
  </r>
  <r>
    <n v="1345"/>
    <d v="2022-09-29T00:00:00"/>
    <d v="1899-12-30T17:50:00"/>
    <n v="98"/>
    <x v="0"/>
    <x v="44"/>
    <x v="2"/>
    <n v="1"/>
    <n v="30"/>
    <n v="11.4"/>
    <n v="30"/>
    <x v="0"/>
    <n v="9"/>
    <x v="9"/>
    <n v="29"/>
    <x v="2"/>
    <x v="1"/>
    <n v="18.600000000000001"/>
    <n v="0.62"/>
    <n v="0"/>
  </r>
  <r>
    <n v="1458"/>
    <d v="2023-10-09T00:00:00"/>
    <d v="1899-12-30T19:21:00"/>
    <n v="95"/>
    <x v="1"/>
    <x v="27"/>
    <x v="2"/>
    <n v="4"/>
    <n v="25"/>
    <n v="9.75"/>
    <n v="100"/>
    <x v="1"/>
    <n v="10"/>
    <x v="5"/>
    <n v="9"/>
    <x v="1"/>
    <x v="0"/>
    <n v="90.25"/>
    <n v="0.90249999999999997"/>
    <n v="0"/>
  </r>
  <r>
    <n v="1582"/>
    <d v="2023-10-17T00:00:00"/>
    <d v="1899-12-30T19:12:00"/>
    <n v="56"/>
    <x v="0"/>
    <x v="39"/>
    <x v="0"/>
    <n v="3"/>
    <n v="300"/>
    <n v="114"/>
    <n v="900"/>
    <x v="1"/>
    <n v="10"/>
    <x v="5"/>
    <n v="17"/>
    <x v="6"/>
    <x v="0"/>
    <n v="786"/>
    <n v="0.87333333300000004"/>
    <n v="1"/>
  </r>
  <r>
    <n v="1963"/>
    <d v="2022-12-12T00:00:00"/>
    <d v="1899-12-30T20:56:00"/>
    <n v="115"/>
    <x v="1"/>
    <x v="46"/>
    <x v="1"/>
    <n v="1"/>
    <n v="50"/>
    <n v="20.5"/>
    <n v="50"/>
    <x v="0"/>
    <n v="12"/>
    <x v="2"/>
    <n v="12"/>
    <x v="1"/>
    <x v="0"/>
    <n v="29.5"/>
    <n v="0.59"/>
    <n v="0"/>
  </r>
  <r>
    <n v="369"/>
    <d v="2023-12-13T00:00:00"/>
    <d v="1899-12-30T19:42:00"/>
    <n v="111"/>
    <x v="0"/>
    <x v="8"/>
    <x v="2"/>
    <n v="3"/>
    <n v="500"/>
    <n v="215"/>
    <n v="1500"/>
    <x v="1"/>
    <n v="12"/>
    <x v="2"/>
    <n v="13"/>
    <x v="4"/>
    <x v="0"/>
    <n v="1285"/>
    <n v="0.85666666700000005"/>
    <n v="1"/>
  </r>
  <r>
    <n v="706"/>
    <d v="2022-09-04T00:00:00"/>
    <d v="1899-12-30T22:19:00"/>
    <n v="66"/>
    <x v="0"/>
    <x v="12"/>
    <x v="2"/>
    <n v="4"/>
    <n v="25"/>
    <n v="8"/>
    <n v="100"/>
    <x v="0"/>
    <n v="9"/>
    <x v="9"/>
    <n v="4"/>
    <x v="5"/>
    <x v="1"/>
    <n v="92"/>
    <n v="0.92"/>
    <n v="0"/>
  </r>
  <r>
    <n v="747"/>
    <d v="2022-10-21T00:00:00"/>
    <d v="1899-12-30T18:12:00"/>
    <n v="51"/>
    <x v="0"/>
    <x v="8"/>
    <x v="1"/>
    <n v="1"/>
    <n v="30"/>
    <n v="9.3000000000000007"/>
    <n v="30"/>
    <x v="0"/>
    <n v="10"/>
    <x v="5"/>
    <n v="21"/>
    <x v="3"/>
    <x v="0"/>
    <n v="20.7"/>
    <n v="0.69"/>
    <n v="0"/>
  </r>
  <r>
    <n v="1369"/>
    <d v="2022-10-10T00:00:00"/>
    <d v="1899-12-30T21:14:00"/>
    <n v="64"/>
    <x v="0"/>
    <x v="8"/>
    <x v="2"/>
    <n v="3"/>
    <n v="500"/>
    <n v="180"/>
    <n v="1500"/>
    <x v="0"/>
    <n v="10"/>
    <x v="5"/>
    <n v="10"/>
    <x v="1"/>
    <x v="0"/>
    <n v="1320"/>
    <n v="0.88"/>
    <n v="1"/>
  </r>
  <r>
    <n v="1706"/>
    <d v="2022-10-16T00:00:00"/>
    <d v="1899-12-30T18:04:00"/>
    <n v="57"/>
    <x v="0"/>
    <x v="12"/>
    <x v="2"/>
    <n v="4"/>
    <n v="25"/>
    <n v="11.75"/>
    <n v="100"/>
    <x v="0"/>
    <n v="10"/>
    <x v="5"/>
    <n v="16"/>
    <x v="5"/>
    <x v="0"/>
    <n v="88.25"/>
    <n v="0.88249999999999995"/>
    <n v="0"/>
  </r>
  <r>
    <n v="1747"/>
    <d v="2023-09-05T00:00:00"/>
    <d v="1899-12-30T18:22:00"/>
    <n v="87"/>
    <x v="0"/>
    <x v="8"/>
    <x v="1"/>
    <n v="1"/>
    <n v="30"/>
    <n v="16.2"/>
    <n v="30"/>
    <x v="1"/>
    <n v="9"/>
    <x v="9"/>
    <n v="5"/>
    <x v="6"/>
    <x v="1"/>
    <n v="13.8"/>
    <n v="0.46"/>
    <n v="0"/>
  </r>
  <r>
    <n v="533"/>
    <d v="2022-11-13T00:00:00"/>
    <d v="1899-12-30T17:19:00"/>
    <n v="92"/>
    <x v="0"/>
    <x v="4"/>
    <x v="2"/>
    <n v="3"/>
    <n v="500"/>
    <n v="155"/>
    <n v="1500"/>
    <x v="0"/>
    <n v="11"/>
    <x v="0"/>
    <n v="13"/>
    <x v="5"/>
    <x v="0"/>
    <n v="1345"/>
    <n v="0.89666666699999997"/>
    <n v="1"/>
  </r>
  <r>
    <n v="1533"/>
    <d v="2022-10-29T00:00:00"/>
    <d v="1899-12-30T19:35:00"/>
    <n v="67"/>
    <x v="0"/>
    <x v="4"/>
    <x v="2"/>
    <n v="3"/>
    <n v="500"/>
    <n v="255"/>
    <n v="1500"/>
    <x v="0"/>
    <n v="10"/>
    <x v="5"/>
    <n v="29"/>
    <x v="0"/>
    <x v="0"/>
    <n v="1245"/>
    <n v="0.83"/>
    <n v="1"/>
  </r>
  <r>
    <n v="169"/>
    <d v="2022-11-28T00:00:00"/>
    <d v="1899-12-30T18:47:00"/>
    <n v="73"/>
    <x v="0"/>
    <x v="18"/>
    <x v="1"/>
    <n v="3"/>
    <n v="500"/>
    <n v="145"/>
    <n v="1500"/>
    <x v="0"/>
    <n v="11"/>
    <x v="0"/>
    <n v="28"/>
    <x v="1"/>
    <x v="0"/>
    <n v="1355"/>
    <n v="0.90333333299999996"/>
    <n v="1"/>
  </r>
  <r>
    <n v="645"/>
    <d v="2022-12-14T00:00:00"/>
    <d v="1899-12-30T22:11:00"/>
    <n v="51"/>
    <x v="1"/>
    <x v="39"/>
    <x v="2"/>
    <n v="4"/>
    <n v="30"/>
    <n v="11.1"/>
    <n v="120"/>
    <x v="0"/>
    <n v="12"/>
    <x v="2"/>
    <n v="14"/>
    <x v="4"/>
    <x v="0"/>
    <n v="108.9"/>
    <n v="0.90749999999999997"/>
    <n v="0"/>
  </r>
  <r>
    <n v="968"/>
    <d v="2023-12-18T00:00:00"/>
    <d v="1899-12-30T20:34:00"/>
    <n v="101"/>
    <x v="1"/>
    <x v="42"/>
    <x v="0"/>
    <n v="3"/>
    <n v="300"/>
    <n v="120"/>
    <n v="900"/>
    <x v="1"/>
    <n v="12"/>
    <x v="2"/>
    <n v="18"/>
    <x v="1"/>
    <x v="0"/>
    <n v="780"/>
    <n v="0.86666666699999995"/>
    <n v="1"/>
  </r>
  <r>
    <n v="997"/>
    <d v="2023-10-01T00:00:00"/>
    <d v="1899-12-30T20:36:00"/>
    <n v="51"/>
    <x v="0"/>
    <x v="41"/>
    <x v="1"/>
    <n v="3"/>
    <n v="30"/>
    <n v="15"/>
    <n v="90"/>
    <x v="1"/>
    <n v="10"/>
    <x v="5"/>
    <n v="1"/>
    <x v="5"/>
    <x v="0"/>
    <n v="75"/>
    <n v="0.83333333300000001"/>
    <n v="0"/>
  </r>
  <r>
    <n v="1169"/>
    <d v="2022-09-25T00:00:00"/>
    <d v="1899-12-30T17:12:00"/>
    <n v="101"/>
    <x v="0"/>
    <x v="18"/>
    <x v="1"/>
    <n v="3"/>
    <n v="500"/>
    <n v="255"/>
    <n v="1500"/>
    <x v="0"/>
    <n v="9"/>
    <x v="9"/>
    <n v="25"/>
    <x v="5"/>
    <x v="1"/>
    <n v="1245"/>
    <n v="0.83"/>
    <n v="1"/>
  </r>
  <r>
    <n v="1645"/>
    <d v="2023-10-12T00:00:00"/>
    <d v="1899-12-30T17:27:00"/>
    <n v="109"/>
    <x v="1"/>
    <x v="39"/>
    <x v="2"/>
    <n v="4"/>
    <n v="30"/>
    <n v="9"/>
    <n v="120"/>
    <x v="1"/>
    <n v="10"/>
    <x v="5"/>
    <n v="12"/>
    <x v="2"/>
    <x v="0"/>
    <n v="111"/>
    <n v="0.92500000000000004"/>
    <n v="0"/>
  </r>
  <r>
    <n v="1968"/>
    <d v="2022-09-21T00:00:00"/>
    <d v="1899-12-30T19:09:00"/>
    <n v="75"/>
    <x v="1"/>
    <x v="42"/>
    <x v="0"/>
    <n v="3"/>
    <n v="300"/>
    <n v="153"/>
    <n v="900"/>
    <x v="0"/>
    <n v="9"/>
    <x v="9"/>
    <n v="21"/>
    <x v="4"/>
    <x v="1"/>
    <n v="747"/>
    <n v="0.83"/>
    <n v="1"/>
  </r>
  <r>
    <n v="1997"/>
    <d v="2023-10-29T00:00:00"/>
    <d v="1899-12-30T21:09:00"/>
    <n v="99"/>
    <x v="0"/>
    <x v="41"/>
    <x v="1"/>
    <n v="3"/>
    <n v="30"/>
    <n v="10.199999999999999"/>
    <n v="90"/>
    <x v="1"/>
    <n v="10"/>
    <x v="5"/>
    <n v="29"/>
    <x v="5"/>
    <x v="0"/>
    <n v="79.8"/>
    <n v="0.88666666699999996"/>
    <n v="0"/>
  </r>
  <r>
    <n v="57"/>
    <d v="2022-10-11T00:00:00"/>
    <d v="1899-12-30T20:12:00"/>
    <n v="64"/>
    <x v="1"/>
    <x v="15"/>
    <x v="1"/>
    <n v="1"/>
    <n v="30"/>
    <n v="10.199999999999999"/>
    <n v="30"/>
    <x v="0"/>
    <n v="10"/>
    <x v="5"/>
    <n v="11"/>
    <x v="6"/>
    <x v="0"/>
    <n v="19.8"/>
    <n v="0.66"/>
    <n v="0"/>
  </r>
  <r>
    <n v="137"/>
    <d v="2022-09-10T00:00:00"/>
    <d v="1899-12-30T20:42:00"/>
    <n v="66"/>
    <x v="0"/>
    <x v="1"/>
    <x v="1"/>
    <n v="2"/>
    <n v="500"/>
    <n v="125"/>
    <n v="1000"/>
    <x v="0"/>
    <n v="9"/>
    <x v="9"/>
    <n v="10"/>
    <x v="0"/>
    <x v="1"/>
    <n v="875"/>
    <n v="0.875"/>
    <n v="1"/>
  </r>
  <r>
    <n v="778"/>
    <d v="2023-12-13T00:00:00"/>
    <d v="1899-12-30T18:28:00"/>
    <n v="105"/>
    <x v="1"/>
    <x v="35"/>
    <x v="1"/>
    <n v="4"/>
    <n v="25"/>
    <n v="13.75"/>
    <n v="100"/>
    <x v="1"/>
    <n v="12"/>
    <x v="2"/>
    <n v="13"/>
    <x v="4"/>
    <x v="0"/>
    <n v="86.25"/>
    <n v="0.86250000000000004"/>
    <n v="0"/>
  </r>
  <r>
    <n v="1057"/>
    <d v="2023-09-19T00:00:00"/>
    <d v="1899-12-30T22:31:00"/>
    <n v="114"/>
    <x v="1"/>
    <x v="15"/>
    <x v="1"/>
    <n v="1"/>
    <n v="30"/>
    <n v="15.9"/>
    <n v="30"/>
    <x v="1"/>
    <n v="9"/>
    <x v="9"/>
    <n v="19"/>
    <x v="6"/>
    <x v="1"/>
    <n v="14.1"/>
    <n v="0.47"/>
    <n v="0"/>
  </r>
  <r>
    <n v="1137"/>
    <d v="2022-11-05T00:00:00"/>
    <d v="1899-12-30T22:34:00"/>
    <n v="104"/>
    <x v="0"/>
    <x v="1"/>
    <x v="1"/>
    <n v="2"/>
    <n v="500"/>
    <n v="145"/>
    <n v="1000"/>
    <x v="0"/>
    <n v="11"/>
    <x v="0"/>
    <n v="5"/>
    <x v="0"/>
    <x v="0"/>
    <n v="855"/>
    <n v="0.85499999999999998"/>
    <n v="1"/>
  </r>
  <r>
    <n v="1778"/>
    <d v="2023-12-30T00:00:00"/>
    <d v="1899-12-30T19:57:00"/>
    <n v="94"/>
    <x v="1"/>
    <x v="35"/>
    <x v="1"/>
    <n v="4"/>
    <n v="25"/>
    <n v="11.25"/>
    <n v="100"/>
    <x v="1"/>
    <n v="12"/>
    <x v="2"/>
    <n v="30"/>
    <x v="0"/>
    <x v="0"/>
    <n v="88.75"/>
    <n v="0.88749999999999996"/>
    <n v="0"/>
  </r>
  <r>
    <n v="599"/>
    <d v="2023-12-10T00:00:00"/>
    <d v="1899-12-30T19:07:00"/>
    <n v="82"/>
    <x v="1"/>
    <x v="32"/>
    <x v="1"/>
    <n v="2"/>
    <n v="50"/>
    <n v="24.5"/>
    <n v="100"/>
    <x v="1"/>
    <n v="12"/>
    <x v="2"/>
    <n v="10"/>
    <x v="5"/>
    <x v="0"/>
    <n v="75.5"/>
    <n v="0.755"/>
    <n v="0"/>
  </r>
  <r>
    <n v="938"/>
    <d v="2022-09-16T00:00:00"/>
    <d v="1899-12-30T17:55:00"/>
    <n v="103"/>
    <x v="0"/>
    <x v="28"/>
    <x v="0"/>
    <n v="4"/>
    <n v="50"/>
    <n v="23"/>
    <n v="200"/>
    <x v="0"/>
    <n v="9"/>
    <x v="9"/>
    <n v="16"/>
    <x v="3"/>
    <x v="1"/>
    <n v="177"/>
    <n v="0.88500000000000001"/>
    <n v="1"/>
  </r>
  <r>
    <n v="1599"/>
    <d v="2022-10-24T00:00:00"/>
    <d v="1899-12-30T17:23:00"/>
    <n v="110"/>
    <x v="1"/>
    <x v="32"/>
    <x v="1"/>
    <n v="2"/>
    <n v="50"/>
    <n v="20.5"/>
    <n v="100"/>
    <x v="0"/>
    <n v="10"/>
    <x v="5"/>
    <n v="24"/>
    <x v="1"/>
    <x v="0"/>
    <n v="79.5"/>
    <n v="0.79500000000000004"/>
    <n v="0"/>
  </r>
  <r>
    <n v="1938"/>
    <d v="2022-10-12T00:00:00"/>
    <d v="1899-12-30T20:15:00"/>
    <n v="76"/>
    <x v="0"/>
    <x v="28"/>
    <x v="0"/>
    <n v="4"/>
    <n v="50"/>
    <n v="13.5"/>
    <n v="200"/>
    <x v="0"/>
    <n v="10"/>
    <x v="5"/>
    <n v="12"/>
    <x v="4"/>
    <x v="0"/>
    <n v="186.5"/>
    <n v="0.9325"/>
    <n v="1"/>
  </r>
  <r>
    <n v="234"/>
    <d v="2023-12-09T00:00:00"/>
    <d v="1899-12-30T17:42:00"/>
    <n v="64"/>
    <x v="1"/>
    <x v="44"/>
    <x v="2"/>
    <n v="2"/>
    <n v="25"/>
    <n v="13.75"/>
    <n v="50"/>
    <x v="1"/>
    <n v="12"/>
    <x v="2"/>
    <n v="9"/>
    <x v="0"/>
    <x v="0"/>
    <n v="36.25"/>
    <n v="0.72499999999999998"/>
    <n v="0"/>
  </r>
  <r>
    <n v="1234"/>
    <d v="2023-09-07T00:00:00"/>
    <d v="1899-12-30T17:46:00"/>
    <n v="78"/>
    <x v="1"/>
    <x v="44"/>
    <x v="2"/>
    <n v="2"/>
    <n v="25"/>
    <n v="8.25"/>
    <n v="50"/>
    <x v="1"/>
    <n v="9"/>
    <x v="9"/>
    <n v="7"/>
    <x v="2"/>
    <x v="1"/>
    <n v="41.75"/>
    <n v="0.83499999999999996"/>
    <n v="0"/>
  </r>
  <r>
    <n v="410"/>
    <d v="2023-10-31T00:00:00"/>
    <d v="1899-12-30T19:41:00"/>
    <n v="64"/>
    <x v="1"/>
    <x v="33"/>
    <x v="0"/>
    <n v="2"/>
    <n v="50"/>
    <n v="14.5"/>
    <n v="100"/>
    <x v="1"/>
    <n v="10"/>
    <x v="5"/>
    <n v="31"/>
    <x v="6"/>
    <x v="0"/>
    <n v="85.5"/>
    <n v="0.85499999999999998"/>
    <n v="0"/>
  </r>
  <r>
    <n v="417"/>
    <d v="2023-10-01T00:00:00"/>
    <d v="1899-12-30T22:03:00"/>
    <n v="109"/>
    <x v="0"/>
    <x v="22"/>
    <x v="2"/>
    <n v="3"/>
    <n v="300"/>
    <n v="162"/>
    <n v="900"/>
    <x v="1"/>
    <n v="10"/>
    <x v="5"/>
    <n v="1"/>
    <x v="5"/>
    <x v="0"/>
    <n v="738"/>
    <n v="0.82"/>
    <n v="1"/>
  </r>
  <r>
    <n v="581"/>
    <d v="2022-12-15T00:00:00"/>
    <d v="1899-12-30T21:16:00"/>
    <n v="103"/>
    <x v="1"/>
    <x v="42"/>
    <x v="1"/>
    <n v="2"/>
    <n v="30"/>
    <n v="13.8"/>
    <n v="60"/>
    <x v="0"/>
    <n v="12"/>
    <x v="2"/>
    <n v="15"/>
    <x v="2"/>
    <x v="0"/>
    <n v="46.2"/>
    <n v="0.77"/>
    <n v="0"/>
  </r>
  <r>
    <n v="1410"/>
    <d v="2022-10-16T00:00:00"/>
    <d v="1899-12-30T18:47:00"/>
    <n v="72"/>
    <x v="1"/>
    <x v="33"/>
    <x v="0"/>
    <n v="2"/>
    <n v="50"/>
    <n v="22.5"/>
    <n v="100"/>
    <x v="0"/>
    <n v="10"/>
    <x v="5"/>
    <n v="16"/>
    <x v="5"/>
    <x v="0"/>
    <n v="77.5"/>
    <n v="0.77500000000000002"/>
    <n v="0"/>
  </r>
  <r>
    <n v="1417"/>
    <d v="2022-12-26T00:00:00"/>
    <d v="1899-12-30T17:43:00"/>
    <n v="54"/>
    <x v="0"/>
    <x v="22"/>
    <x v="2"/>
    <n v="3"/>
    <n v="300"/>
    <n v="147"/>
    <n v="900"/>
    <x v="0"/>
    <n v="12"/>
    <x v="2"/>
    <n v="26"/>
    <x v="1"/>
    <x v="0"/>
    <n v="753"/>
    <n v="0.83666666700000003"/>
    <n v="1"/>
  </r>
  <r>
    <n v="1581"/>
    <d v="2022-12-20T00:00:00"/>
    <d v="1899-12-30T18:57:00"/>
    <n v="108"/>
    <x v="1"/>
    <x v="42"/>
    <x v="1"/>
    <n v="2"/>
    <n v="30"/>
    <n v="9.9"/>
    <n v="60"/>
    <x v="0"/>
    <n v="12"/>
    <x v="2"/>
    <n v="20"/>
    <x v="6"/>
    <x v="0"/>
    <n v="50.1"/>
    <n v="0.83499999999999996"/>
    <n v="0"/>
  </r>
  <r>
    <n v="74"/>
    <d v="2023-10-05T00:00:00"/>
    <d v="1899-12-30T19:50:00"/>
    <n v="56"/>
    <x v="1"/>
    <x v="18"/>
    <x v="1"/>
    <n v="4"/>
    <n v="500"/>
    <n v="205"/>
    <n v="2000"/>
    <x v="1"/>
    <n v="10"/>
    <x v="5"/>
    <n v="5"/>
    <x v="2"/>
    <x v="0"/>
    <n v="1795"/>
    <n v="0.89749999999999996"/>
    <n v="1"/>
  </r>
  <r>
    <n v="87"/>
    <d v="2022-09-07T00:00:00"/>
    <d v="1899-12-30T18:09:00"/>
    <n v="104"/>
    <x v="1"/>
    <x v="32"/>
    <x v="1"/>
    <n v="2"/>
    <n v="50"/>
    <n v="15.5"/>
    <n v="100"/>
    <x v="0"/>
    <n v="9"/>
    <x v="9"/>
    <n v="7"/>
    <x v="4"/>
    <x v="1"/>
    <n v="84.5"/>
    <n v="0.84499999999999997"/>
    <n v="0"/>
  </r>
  <r>
    <n v="803"/>
    <d v="2022-10-25T00:00:00"/>
    <d v="1899-12-30T17:16:00"/>
    <n v="60"/>
    <x v="0"/>
    <x v="27"/>
    <x v="0"/>
    <n v="4"/>
    <n v="25"/>
    <n v="6.75"/>
    <n v="100"/>
    <x v="0"/>
    <n v="10"/>
    <x v="5"/>
    <n v="25"/>
    <x v="6"/>
    <x v="0"/>
    <n v="93.25"/>
    <n v="0.9325"/>
    <n v="0"/>
  </r>
  <r>
    <n v="1074"/>
    <d v="2022-10-04T00:00:00"/>
    <d v="1899-12-30T20:18:00"/>
    <n v="67"/>
    <x v="1"/>
    <x v="18"/>
    <x v="1"/>
    <n v="4"/>
    <n v="500"/>
    <n v="230"/>
    <n v="2000"/>
    <x v="0"/>
    <n v="10"/>
    <x v="5"/>
    <n v="4"/>
    <x v="6"/>
    <x v="0"/>
    <n v="1770"/>
    <n v="0.88500000000000001"/>
    <n v="1"/>
  </r>
  <r>
    <n v="1087"/>
    <d v="2022-11-08T00:00:00"/>
    <d v="1899-12-30T23:00:00"/>
    <n v="81"/>
    <x v="1"/>
    <x v="32"/>
    <x v="1"/>
    <n v="2"/>
    <n v="50"/>
    <n v="15"/>
    <n v="100"/>
    <x v="0"/>
    <n v="11"/>
    <x v="0"/>
    <n v="8"/>
    <x v="6"/>
    <x v="0"/>
    <n v="85"/>
    <n v="0.85"/>
    <n v="0"/>
  </r>
  <r>
    <n v="1803"/>
    <d v="2023-12-26T00:00:00"/>
    <d v="1899-12-30T19:36:00"/>
    <n v="101"/>
    <x v="0"/>
    <x v="27"/>
    <x v="0"/>
    <n v="4"/>
    <n v="25"/>
    <n v="8.5"/>
    <n v="100"/>
    <x v="1"/>
    <n v="12"/>
    <x v="2"/>
    <n v="26"/>
    <x v="6"/>
    <x v="0"/>
    <n v="91.5"/>
    <n v="0.91500000000000004"/>
    <n v="0"/>
  </r>
  <r>
    <n v="424"/>
    <d v="2023-12-20T00:00:00"/>
    <d v="1899-12-30T19:21:00"/>
    <n v="101"/>
    <x v="0"/>
    <x v="10"/>
    <x v="1"/>
    <n v="4"/>
    <n v="300"/>
    <n v="147"/>
    <n v="1200"/>
    <x v="1"/>
    <n v="12"/>
    <x v="2"/>
    <n v="20"/>
    <x v="4"/>
    <x v="0"/>
    <n v="1053"/>
    <n v="0.87749999999999995"/>
    <n v="1"/>
  </r>
  <r>
    <n v="641"/>
    <d v="2023-12-25T00:00:00"/>
    <d v="1899-12-30T18:30:00"/>
    <n v="105"/>
    <x v="1"/>
    <x v="2"/>
    <x v="2"/>
    <n v="1"/>
    <n v="300"/>
    <n v="144"/>
    <n v="300"/>
    <x v="1"/>
    <n v="12"/>
    <x v="2"/>
    <n v="25"/>
    <x v="1"/>
    <x v="0"/>
    <n v="156"/>
    <n v="0.52"/>
    <n v="1"/>
  </r>
  <r>
    <n v="918"/>
    <d v="2023-10-13T00:00:00"/>
    <d v="1899-12-30T21:59:00"/>
    <n v="114"/>
    <x v="1"/>
    <x v="25"/>
    <x v="2"/>
    <n v="3"/>
    <n v="30"/>
    <n v="16.2"/>
    <n v="90"/>
    <x v="1"/>
    <n v="10"/>
    <x v="5"/>
    <n v="13"/>
    <x v="3"/>
    <x v="0"/>
    <n v="73.8"/>
    <n v="0.82"/>
    <n v="0"/>
  </r>
  <r>
    <n v="1424"/>
    <d v="2023-09-05T00:00:00"/>
    <d v="1899-12-30T21:32:00"/>
    <n v="54"/>
    <x v="0"/>
    <x v="10"/>
    <x v="1"/>
    <n v="4"/>
    <n v="300"/>
    <n v="111"/>
    <n v="1200"/>
    <x v="1"/>
    <n v="9"/>
    <x v="9"/>
    <n v="5"/>
    <x v="6"/>
    <x v="1"/>
    <n v="1089"/>
    <n v="0.90749999999999997"/>
    <n v="1"/>
  </r>
  <r>
    <n v="1641"/>
    <d v="2022-09-01T00:00:00"/>
    <d v="1899-12-30T17:41:00"/>
    <n v="65"/>
    <x v="1"/>
    <x v="2"/>
    <x v="2"/>
    <n v="1"/>
    <n v="300"/>
    <n v="165"/>
    <n v="300"/>
    <x v="0"/>
    <n v="9"/>
    <x v="9"/>
    <n v="1"/>
    <x v="2"/>
    <x v="1"/>
    <n v="135"/>
    <n v="0.45"/>
    <n v="1"/>
  </r>
  <r>
    <n v="1918"/>
    <d v="2022-12-10T00:00:00"/>
    <d v="1899-12-30T21:57:00"/>
    <n v="56"/>
    <x v="1"/>
    <x v="25"/>
    <x v="2"/>
    <n v="3"/>
    <n v="30"/>
    <n v="13.2"/>
    <n v="90"/>
    <x v="0"/>
    <n v="12"/>
    <x v="2"/>
    <n v="10"/>
    <x v="0"/>
    <x v="0"/>
    <n v="76.8"/>
    <n v="0.85333333300000003"/>
    <n v="0"/>
  </r>
  <r>
    <n v="1"/>
    <d v="2022-12-16T00:00:00"/>
    <d v="1899-12-30T19:10:00"/>
    <n v="50"/>
    <x v="0"/>
    <x v="23"/>
    <x v="1"/>
    <n v="3"/>
    <n v="50"/>
    <n v="16"/>
    <n v="150"/>
    <x v="0"/>
    <n v="12"/>
    <x v="2"/>
    <n v="16"/>
    <x v="3"/>
    <x v="0"/>
    <n v="134"/>
    <n v="0.89333333299999995"/>
    <n v="1"/>
  </r>
  <r>
    <n v="95"/>
    <d v="2022-11-06T00:00:00"/>
    <d v="1899-12-30T19:57:00"/>
    <n v="103"/>
    <x v="1"/>
    <x v="37"/>
    <x v="0"/>
    <n v="2"/>
    <n v="30"/>
    <n v="7.5"/>
    <n v="60"/>
    <x v="0"/>
    <n v="11"/>
    <x v="0"/>
    <n v="6"/>
    <x v="5"/>
    <x v="0"/>
    <n v="52.5"/>
    <n v="0.875"/>
    <n v="0"/>
  </r>
  <r>
    <n v="171"/>
    <d v="2022-10-14T00:00:00"/>
    <d v="1899-12-30T20:10:00"/>
    <n v="109"/>
    <x v="1"/>
    <x v="41"/>
    <x v="0"/>
    <n v="3"/>
    <n v="300"/>
    <n v="126"/>
    <n v="900"/>
    <x v="0"/>
    <n v="10"/>
    <x v="5"/>
    <n v="14"/>
    <x v="3"/>
    <x v="0"/>
    <n v="774"/>
    <n v="0.86"/>
    <n v="1"/>
  </r>
  <r>
    <n v="1001"/>
    <d v="2023-09-01T00:00:00"/>
    <d v="1899-12-30T20:11:00"/>
    <n v="99"/>
    <x v="0"/>
    <x v="23"/>
    <x v="1"/>
    <n v="3"/>
    <n v="50"/>
    <n v="22"/>
    <n v="150"/>
    <x v="1"/>
    <n v="9"/>
    <x v="9"/>
    <n v="1"/>
    <x v="3"/>
    <x v="1"/>
    <n v="128"/>
    <n v="0.85333333300000003"/>
    <n v="1"/>
  </r>
  <r>
    <n v="1095"/>
    <d v="2022-09-05T00:00:00"/>
    <d v="1899-12-30T17:56:00"/>
    <n v="56"/>
    <x v="1"/>
    <x v="37"/>
    <x v="0"/>
    <n v="2"/>
    <n v="30"/>
    <n v="9.9"/>
    <n v="60"/>
    <x v="0"/>
    <n v="9"/>
    <x v="9"/>
    <n v="5"/>
    <x v="1"/>
    <x v="1"/>
    <n v="50.1"/>
    <n v="0.83499999999999996"/>
    <n v="0"/>
  </r>
  <r>
    <n v="1171"/>
    <d v="2022-10-05T00:00:00"/>
    <d v="1899-12-30T21:05:00"/>
    <n v="87"/>
    <x v="1"/>
    <x v="41"/>
    <x v="0"/>
    <n v="3"/>
    <n v="300"/>
    <n v="84"/>
    <n v="900"/>
    <x v="0"/>
    <n v="10"/>
    <x v="5"/>
    <n v="5"/>
    <x v="4"/>
    <x v="0"/>
    <n v="816"/>
    <n v="0.90666666699999998"/>
    <n v="1"/>
  </r>
  <r>
    <n v="156"/>
    <d v="2022-12-02T00:00:00"/>
    <d v="1899-12-30T19:34:00"/>
    <n v="60"/>
    <x v="1"/>
    <x v="22"/>
    <x v="0"/>
    <n v="4"/>
    <n v="25"/>
    <n v="7"/>
    <n v="100"/>
    <x v="0"/>
    <n v="12"/>
    <x v="2"/>
    <n v="2"/>
    <x v="3"/>
    <x v="0"/>
    <n v="93"/>
    <n v="0.93"/>
    <n v="0"/>
  </r>
  <r>
    <n v="493"/>
    <d v="2022-12-01T00:00:00"/>
    <d v="1899-12-30T20:10:00"/>
    <n v="95"/>
    <x v="0"/>
    <x v="0"/>
    <x v="1"/>
    <n v="2"/>
    <n v="25"/>
    <n v="7.75"/>
    <n v="50"/>
    <x v="0"/>
    <n v="12"/>
    <x v="2"/>
    <n v="1"/>
    <x v="2"/>
    <x v="0"/>
    <n v="42.25"/>
    <n v="0.84499999999999997"/>
    <n v="0"/>
  </r>
  <r>
    <n v="1156"/>
    <d v="2022-12-26T00:00:00"/>
    <d v="1899-12-30T21:10:00"/>
    <n v="68"/>
    <x v="1"/>
    <x v="22"/>
    <x v="0"/>
    <n v="4"/>
    <n v="25"/>
    <n v="13.5"/>
    <n v="100"/>
    <x v="0"/>
    <n v="12"/>
    <x v="2"/>
    <n v="26"/>
    <x v="1"/>
    <x v="0"/>
    <n v="86.5"/>
    <n v="0.86499999999999999"/>
    <n v="0"/>
  </r>
  <r>
    <n v="1493"/>
    <d v="2023-11-26T00:00:00"/>
    <d v="1899-12-30T21:49:00"/>
    <n v="58"/>
    <x v="0"/>
    <x v="0"/>
    <x v="1"/>
    <n v="2"/>
    <n v="25"/>
    <n v="6.75"/>
    <n v="50"/>
    <x v="1"/>
    <n v="11"/>
    <x v="0"/>
    <n v="26"/>
    <x v="5"/>
    <x v="0"/>
    <n v="43.25"/>
    <n v="0.86499999999999999"/>
    <n v="0"/>
  </r>
  <r>
    <n v="115"/>
    <d v="2022-09-02T00:00:00"/>
    <d v="1899-12-30T19:21:00"/>
    <n v="67"/>
    <x v="0"/>
    <x v="12"/>
    <x v="0"/>
    <n v="3"/>
    <n v="500"/>
    <n v="255"/>
    <n v="1500"/>
    <x v="0"/>
    <n v="9"/>
    <x v="9"/>
    <n v="2"/>
    <x v="3"/>
    <x v="1"/>
    <n v="1245"/>
    <n v="0.83"/>
    <n v="1"/>
  </r>
  <r>
    <n v="715"/>
    <d v="2022-10-11T00:00:00"/>
    <d v="1899-12-30T20:57:00"/>
    <n v="55"/>
    <x v="1"/>
    <x v="25"/>
    <x v="1"/>
    <n v="4"/>
    <n v="25"/>
    <n v="6.25"/>
    <n v="100"/>
    <x v="0"/>
    <n v="10"/>
    <x v="5"/>
    <n v="11"/>
    <x v="6"/>
    <x v="0"/>
    <n v="93.75"/>
    <n v="0.9375"/>
    <n v="0"/>
  </r>
  <r>
    <n v="1115"/>
    <d v="2023-09-21T00:00:00"/>
    <d v="1899-12-30T17:41:00"/>
    <n v="99"/>
    <x v="0"/>
    <x v="12"/>
    <x v="0"/>
    <n v="3"/>
    <n v="500"/>
    <n v="180"/>
    <n v="1500"/>
    <x v="1"/>
    <n v="9"/>
    <x v="9"/>
    <n v="21"/>
    <x v="2"/>
    <x v="1"/>
    <n v="1320"/>
    <n v="0.88"/>
    <n v="1"/>
  </r>
  <r>
    <n v="1715"/>
    <d v="2022-12-30T00:00:00"/>
    <d v="1899-12-30T19:35:00"/>
    <n v="89"/>
    <x v="1"/>
    <x v="25"/>
    <x v="1"/>
    <n v="4"/>
    <n v="25"/>
    <n v="9.75"/>
    <n v="100"/>
    <x v="0"/>
    <n v="12"/>
    <x v="2"/>
    <n v="30"/>
    <x v="3"/>
    <x v="0"/>
    <n v="90.25"/>
    <n v="0.90249999999999997"/>
    <n v="0"/>
  </r>
  <r>
    <n v="267"/>
    <d v="2022-11-19T00:00:00"/>
    <d v="1899-12-30T17:53:00"/>
    <n v="84"/>
    <x v="1"/>
    <x v="37"/>
    <x v="1"/>
    <n v="3"/>
    <n v="30"/>
    <n v="12"/>
    <n v="90"/>
    <x v="0"/>
    <n v="11"/>
    <x v="0"/>
    <n v="19"/>
    <x v="0"/>
    <x v="0"/>
    <n v="78"/>
    <n v="0.86666666699999995"/>
    <n v="0"/>
  </r>
  <r>
    <n v="362"/>
    <d v="2023-09-27T00:00:00"/>
    <d v="1899-12-30T22:43:00"/>
    <n v="101"/>
    <x v="0"/>
    <x v="20"/>
    <x v="0"/>
    <n v="1"/>
    <n v="25"/>
    <n v="10.25"/>
    <n v="25"/>
    <x v="1"/>
    <n v="9"/>
    <x v="9"/>
    <n v="27"/>
    <x v="4"/>
    <x v="1"/>
    <n v="14.75"/>
    <n v="0.59"/>
    <n v="0"/>
  </r>
  <r>
    <n v="856"/>
    <d v="2022-11-05T00:00:00"/>
    <d v="1899-12-30T17:43:00"/>
    <n v="102"/>
    <x v="0"/>
    <x v="29"/>
    <x v="2"/>
    <n v="4"/>
    <n v="30"/>
    <n v="9.3000000000000007"/>
    <n v="120"/>
    <x v="0"/>
    <n v="11"/>
    <x v="0"/>
    <n v="5"/>
    <x v="0"/>
    <x v="0"/>
    <n v="110.7"/>
    <n v="0.92249999999999999"/>
    <n v="0"/>
  </r>
  <r>
    <n v="1267"/>
    <d v="2022-12-23T00:00:00"/>
    <d v="1899-12-30T21:03:00"/>
    <n v="91"/>
    <x v="1"/>
    <x v="37"/>
    <x v="1"/>
    <n v="3"/>
    <n v="30"/>
    <n v="9.6"/>
    <n v="90"/>
    <x v="0"/>
    <n v="12"/>
    <x v="2"/>
    <n v="23"/>
    <x v="3"/>
    <x v="0"/>
    <n v="80.400000000000006"/>
    <n v="0.89333333299999995"/>
    <n v="0"/>
  </r>
  <r>
    <n v="1362"/>
    <d v="2023-11-21T00:00:00"/>
    <d v="1899-12-30T18:53:00"/>
    <n v="104"/>
    <x v="0"/>
    <x v="20"/>
    <x v="0"/>
    <n v="1"/>
    <n v="25"/>
    <n v="11"/>
    <n v="25"/>
    <x v="1"/>
    <n v="11"/>
    <x v="0"/>
    <n v="21"/>
    <x v="6"/>
    <x v="0"/>
    <n v="14"/>
    <n v="0.56000000000000005"/>
    <n v="0"/>
  </r>
  <r>
    <n v="1856"/>
    <d v="2023-12-20T00:00:00"/>
    <d v="1899-12-30T21:34:00"/>
    <n v="114"/>
    <x v="0"/>
    <x v="29"/>
    <x v="2"/>
    <n v="4"/>
    <n v="30"/>
    <n v="16.2"/>
    <n v="120"/>
    <x v="1"/>
    <n v="12"/>
    <x v="2"/>
    <n v="20"/>
    <x v="4"/>
    <x v="0"/>
    <n v="103.8"/>
    <n v="0.86499999999999999"/>
    <n v="0"/>
  </r>
  <r>
    <n v="84"/>
    <d v="2023-11-10T00:00:00"/>
    <d v="1899-12-30T17:17:00"/>
    <n v="89"/>
    <x v="1"/>
    <x v="9"/>
    <x v="2"/>
    <n v="3"/>
    <n v="30"/>
    <n v="10.199999999999999"/>
    <n v="90"/>
    <x v="1"/>
    <n v="11"/>
    <x v="0"/>
    <n v="10"/>
    <x v="3"/>
    <x v="0"/>
    <n v="79.8"/>
    <n v="0.88666666699999996"/>
    <n v="0"/>
  </r>
  <r>
    <n v="795"/>
    <d v="2023-10-03T00:00:00"/>
    <d v="1899-12-30T19:51:00"/>
    <n v="71"/>
    <x v="0"/>
    <x v="10"/>
    <x v="2"/>
    <n v="1"/>
    <n v="300"/>
    <n v="102"/>
    <n v="300"/>
    <x v="1"/>
    <n v="10"/>
    <x v="5"/>
    <n v="3"/>
    <x v="6"/>
    <x v="0"/>
    <n v="198"/>
    <n v="0.66"/>
    <n v="1"/>
  </r>
  <r>
    <n v="1084"/>
    <d v="2022-10-23T00:00:00"/>
    <d v="1899-12-30T20:37:00"/>
    <n v="93"/>
    <x v="1"/>
    <x v="9"/>
    <x v="2"/>
    <n v="3"/>
    <n v="30"/>
    <n v="7.8"/>
    <n v="90"/>
    <x v="0"/>
    <n v="10"/>
    <x v="5"/>
    <n v="23"/>
    <x v="5"/>
    <x v="0"/>
    <n v="82.2"/>
    <n v="0.91333333299999997"/>
    <n v="0"/>
  </r>
  <r>
    <n v="1795"/>
    <d v="2023-12-29T00:00:00"/>
    <d v="1899-12-30T18:50:00"/>
    <n v="86"/>
    <x v="0"/>
    <x v="10"/>
    <x v="2"/>
    <n v="1"/>
    <n v="300"/>
    <n v="105"/>
    <n v="300"/>
    <x v="1"/>
    <n v="12"/>
    <x v="2"/>
    <n v="29"/>
    <x v="3"/>
    <x v="0"/>
    <n v="195"/>
    <n v="0.65"/>
    <n v="1"/>
  </r>
  <r>
    <n v="24"/>
    <d v="2023-12-14T00:00:00"/>
    <d v="1899-12-30T22:59:00"/>
    <n v="59"/>
    <x v="1"/>
    <x v="28"/>
    <x v="0"/>
    <n v="1"/>
    <n v="300"/>
    <n v="87"/>
    <n v="300"/>
    <x v="1"/>
    <n v="12"/>
    <x v="2"/>
    <n v="14"/>
    <x v="2"/>
    <x v="0"/>
    <n v="213"/>
    <n v="0.71"/>
    <n v="1"/>
  </r>
  <r>
    <n v="215"/>
    <d v="2022-10-03T00:00:00"/>
    <d v="1899-12-30T21:20:00"/>
    <n v="101"/>
    <x v="0"/>
    <x v="43"/>
    <x v="0"/>
    <n v="3"/>
    <n v="500"/>
    <n v="145"/>
    <n v="1500"/>
    <x v="0"/>
    <n v="10"/>
    <x v="5"/>
    <n v="3"/>
    <x v="1"/>
    <x v="0"/>
    <n v="1355"/>
    <n v="0.90333333299999996"/>
    <n v="1"/>
  </r>
  <r>
    <n v="739"/>
    <d v="2023-10-14T00:00:00"/>
    <d v="1899-12-30T17:09:00"/>
    <n v="57"/>
    <x v="0"/>
    <x v="31"/>
    <x v="1"/>
    <n v="1"/>
    <n v="25"/>
    <n v="10.25"/>
    <n v="25"/>
    <x v="1"/>
    <n v="10"/>
    <x v="5"/>
    <n v="14"/>
    <x v="0"/>
    <x v="0"/>
    <n v="14.75"/>
    <n v="0.59"/>
    <n v="0"/>
  </r>
  <r>
    <n v="1024"/>
    <d v="2023-12-03T00:00:00"/>
    <d v="1899-12-30T21:51:00"/>
    <n v="72"/>
    <x v="1"/>
    <x v="28"/>
    <x v="0"/>
    <n v="1"/>
    <n v="300"/>
    <n v="126"/>
    <n v="300"/>
    <x v="1"/>
    <n v="12"/>
    <x v="2"/>
    <n v="3"/>
    <x v="5"/>
    <x v="0"/>
    <n v="174"/>
    <n v="0.57999999999999996"/>
    <n v="1"/>
  </r>
  <r>
    <n v="1215"/>
    <d v="2022-11-19T00:00:00"/>
    <d v="1899-12-30T20:44:00"/>
    <n v="107"/>
    <x v="0"/>
    <x v="43"/>
    <x v="0"/>
    <n v="3"/>
    <n v="500"/>
    <n v="130"/>
    <n v="1500"/>
    <x v="0"/>
    <n v="11"/>
    <x v="0"/>
    <n v="19"/>
    <x v="0"/>
    <x v="0"/>
    <n v="1370"/>
    <n v="0.91333333299999997"/>
    <n v="1"/>
  </r>
  <r>
    <n v="1739"/>
    <d v="2023-10-25T00:00:00"/>
    <d v="1899-12-30T17:52:00"/>
    <n v="67"/>
    <x v="0"/>
    <x v="31"/>
    <x v="1"/>
    <n v="1"/>
    <n v="25"/>
    <n v="11.25"/>
    <n v="25"/>
    <x v="1"/>
    <n v="10"/>
    <x v="5"/>
    <n v="25"/>
    <x v="4"/>
    <x v="0"/>
    <n v="13.75"/>
    <n v="0.55000000000000004"/>
    <n v="0"/>
  </r>
  <r>
    <n v="289"/>
    <d v="2023-09-09T00:00:00"/>
    <d v="1899-12-30T20:29:00"/>
    <n v="107"/>
    <x v="0"/>
    <x v="21"/>
    <x v="2"/>
    <n v="2"/>
    <n v="30"/>
    <n v="8.1"/>
    <n v="60"/>
    <x v="1"/>
    <n v="9"/>
    <x v="9"/>
    <n v="9"/>
    <x v="0"/>
    <x v="1"/>
    <n v="51.9"/>
    <n v="0.86499999999999999"/>
    <n v="0"/>
  </r>
  <r>
    <n v="741"/>
    <d v="2022-12-24T00:00:00"/>
    <d v="1899-12-30T22:30:00"/>
    <n v="53"/>
    <x v="0"/>
    <x v="42"/>
    <x v="0"/>
    <n v="1"/>
    <n v="300"/>
    <n v="141"/>
    <n v="300"/>
    <x v="0"/>
    <n v="12"/>
    <x v="2"/>
    <n v="24"/>
    <x v="0"/>
    <x v="0"/>
    <n v="159"/>
    <n v="0.53"/>
    <n v="1"/>
  </r>
  <r>
    <n v="810"/>
    <d v="2022-12-01T00:00:00"/>
    <d v="1899-12-30T18:04:00"/>
    <n v="76"/>
    <x v="0"/>
    <x v="26"/>
    <x v="2"/>
    <n v="4"/>
    <n v="25"/>
    <n v="13.75"/>
    <n v="100"/>
    <x v="0"/>
    <n v="12"/>
    <x v="2"/>
    <n v="1"/>
    <x v="2"/>
    <x v="0"/>
    <n v="86.25"/>
    <n v="0.86250000000000004"/>
    <n v="0"/>
  </r>
  <r>
    <n v="1289"/>
    <d v="2023-10-10T00:00:00"/>
    <d v="1899-12-30T19:35:00"/>
    <n v="83"/>
    <x v="0"/>
    <x v="21"/>
    <x v="2"/>
    <n v="2"/>
    <n v="30"/>
    <n v="16.2"/>
    <n v="60"/>
    <x v="1"/>
    <n v="10"/>
    <x v="5"/>
    <n v="10"/>
    <x v="6"/>
    <x v="0"/>
    <n v="43.8"/>
    <n v="0.73"/>
    <n v="0"/>
  </r>
  <r>
    <n v="1741"/>
    <d v="2023-09-02T00:00:00"/>
    <d v="1899-12-30T20:47:00"/>
    <n v="70"/>
    <x v="0"/>
    <x v="42"/>
    <x v="0"/>
    <n v="1"/>
    <n v="300"/>
    <n v="132"/>
    <n v="300"/>
    <x v="1"/>
    <n v="9"/>
    <x v="9"/>
    <n v="2"/>
    <x v="0"/>
    <x v="1"/>
    <n v="168"/>
    <n v="0.56000000000000005"/>
    <n v="1"/>
  </r>
  <r>
    <n v="1810"/>
    <d v="2023-09-22T00:00:00"/>
    <d v="1899-12-30T18:29:00"/>
    <n v="106"/>
    <x v="0"/>
    <x v="26"/>
    <x v="2"/>
    <n v="4"/>
    <n v="25"/>
    <n v="13.5"/>
    <n v="100"/>
    <x v="1"/>
    <n v="9"/>
    <x v="9"/>
    <n v="22"/>
    <x v="3"/>
    <x v="1"/>
    <n v="86.5"/>
    <n v="0.86499999999999999"/>
    <n v="0"/>
  </r>
  <r>
    <n v="266"/>
    <d v="2022-09-12T00:00:00"/>
    <d v="1899-12-30T18:26:00"/>
    <n v="66"/>
    <x v="1"/>
    <x v="4"/>
    <x v="2"/>
    <n v="2"/>
    <n v="30"/>
    <n v="14.4"/>
    <n v="60"/>
    <x v="0"/>
    <n v="9"/>
    <x v="9"/>
    <n v="12"/>
    <x v="1"/>
    <x v="1"/>
    <n v="45.6"/>
    <n v="0.76"/>
    <n v="0"/>
  </r>
  <r>
    <n v="389"/>
    <d v="2022-11-11T00:00:00"/>
    <d v="1899-12-30T19:06:00"/>
    <n v="109"/>
    <x v="0"/>
    <x v="40"/>
    <x v="0"/>
    <n v="2"/>
    <n v="25"/>
    <n v="12.25"/>
    <n v="50"/>
    <x v="0"/>
    <n v="11"/>
    <x v="0"/>
    <n v="11"/>
    <x v="3"/>
    <x v="0"/>
    <n v="37.75"/>
    <n v="0.755"/>
    <n v="0"/>
  </r>
  <r>
    <n v="1266"/>
    <d v="2023-09-03T00:00:00"/>
    <d v="1899-12-30T20:08:00"/>
    <n v="79"/>
    <x v="1"/>
    <x v="4"/>
    <x v="2"/>
    <n v="2"/>
    <n v="30"/>
    <n v="15.6"/>
    <n v="60"/>
    <x v="1"/>
    <n v="9"/>
    <x v="9"/>
    <n v="3"/>
    <x v="5"/>
    <x v="1"/>
    <n v="44.4"/>
    <n v="0.74"/>
    <n v="0"/>
  </r>
  <r>
    <n v="1389"/>
    <d v="2023-09-27T00:00:00"/>
    <d v="1899-12-30T18:11:00"/>
    <n v="60"/>
    <x v="0"/>
    <x v="40"/>
    <x v="0"/>
    <n v="2"/>
    <n v="25"/>
    <n v="9.5"/>
    <n v="50"/>
    <x v="1"/>
    <n v="9"/>
    <x v="9"/>
    <n v="27"/>
    <x v="4"/>
    <x v="1"/>
    <n v="40.5"/>
    <n v="0.81"/>
    <n v="0"/>
  </r>
  <r>
    <n v="112"/>
    <d v="2023-12-25T00:00:00"/>
    <d v="1899-12-30T18:44:00"/>
    <n v="57"/>
    <x v="0"/>
    <x v="5"/>
    <x v="0"/>
    <n v="3"/>
    <n v="500"/>
    <n v="165"/>
    <n v="1500"/>
    <x v="1"/>
    <n v="12"/>
    <x v="2"/>
    <n v="25"/>
    <x v="1"/>
    <x v="0"/>
    <n v="1335"/>
    <n v="0.89"/>
    <n v="1"/>
  </r>
  <r>
    <n v="566"/>
    <d v="2022-11-26T00:00:00"/>
    <d v="1899-12-30T19:15:00"/>
    <n v="106"/>
    <x v="1"/>
    <x v="3"/>
    <x v="0"/>
    <n v="1"/>
    <n v="30"/>
    <n v="8.4"/>
    <n v="30"/>
    <x v="0"/>
    <n v="11"/>
    <x v="0"/>
    <n v="26"/>
    <x v="0"/>
    <x v="0"/>
    <n v="21.6"/>
    <n v="0.72"/>
    <n v="0"/>
  </r>
  <r>
    <n v="608"/>
    <d v="2022-12-07T00:00:00"/>
    <d v="1899-12-30T22:19:00"/>
    <n v="112"/>
    <x v="1"/>
    <x v="46"/>
    <x v="2"/>
    <n v="3"/>
    <n v="500"/>
    <n v="200"/>
    <n v="1500"/>
    <x v="0"/>
    <n v="12"/>
    <x v="2"/>
    <n v="7"/>
    <x v="4"/>
    <x v="0"/>
    <n v="1300"/>
    <n v="0.86666666699999995"/>
    <n v="1"/>
  </r>
  <r>
    <n v="1112"/>
    <d v="2022-12-22T00:00:00"/>
    <d v="1899-12-30T17:11:00"/>
    <n v="94"/>
    <x v="0"/>
    <x v="5"/>
    <x v="0"/>
    <n v="3"/>
    <n v="500"/>
    <n v="180"/>
    <n v="1500"/>
    <x v="0"/>
    <n v="12"/>
    <x v="2"/>
    <n v="22"/>
    <x v="2"/>
    <x v="0"/>
    <n v="1320"/>
    <n v="0.88"/>
    <n v="1"/>
  </r>
  <r>
    <n v="1566"/>
    <d v="2022-10-03T00:00:00"/>
    <d v="1899-12-30T18:17:00"/>
    <n v="56"/>
    <x v="1"/>
    <x v="3"/>
    <x v="0"/>
    <n v="1"/>
    <n v="30"/>
    <n v="15.6"/>
    <n v="30"/>
    <x v="0"/>
    <n v="10"/>
    <x v="5"/>
    <n v="3"/>
    <x v="1"/>
    <x v="0"/>
    <n v="14.4"/>
    <n v="0.48"/>
    <n v="0"/>
  </r>
  <r>
    <n v="1608"/>
    <d v="2023-09-26T00:00:00"/>
    <d v="1899-12-30T21:01:00"/>
    <n v="87"/>
    <x v="1"/>
    <x v="46"/>
    <x v="2"/>
    <n v="3"/>
    <n v="500"/>
    <n v="265"/>
    <n v="1500"/>
    <x v="1"/>
    <n v="9"/>
    <x v="9"/>
    <n v="26"/>
    <x v="6"/>
    <x v="1"/>
    <n v="1235"/>
    <n v="0.823333333"/>
    <n v="1"/>
  </r>
  <r>
    <n v="348"/>
    <d v="2022-10-17T00:00:00"/>
    <d v="1899-12-30T20:20:00"/>
    <n v="83"/>
    <x v="1"/>
    <x v="39"/>
    <x v="2"/>
    <n v="2"/>
    <n v="300"/>
    <n v="147"/>
    <n v="600"/>
    <x v="0"/>
    <n v="10"/>
    <x v="5"/>
    <n v="17"/>
    <x v="1"/>
    <x v="0"/>
    <n v="453"/>
    <n v="0.755"/>
    <n v="1"/>
  </r>
  <r>
    <n v="1348"/>
    <d v="2023-10-25T00:00:00"/>
    <d v="1899-12-30T17:21:00"/>
    <n v="79"/>
    <x v="1"/>
    <x v="39"/>
    <x v="2"/>
    <n v="2"/>
    <n v="300"/>
    <n v="87"/>
    <n v="600"/>
    <x v="1"/>
    <n v="10"/>
    <x v="5"/>
    <n v="25"/>
    <x v="4"/>
    <x v="0"/>
    <n v="513"/>
    <n v="0.85499999999999998"/>
    <n v="1"/>
  </r>
  <r>
    <n v="199"/>
    <d v="2023-10-26T00:00:00"/>
    <d v="1899-12-30T21:34:00"/>
    <n v="53"/>
    <x v="0"/>
    <x v="14"/>
    <x v="1"/>
    <n v="3"/>
    <n v="500"/>
    <n v="135"/>
    <n v="1500"/>
    <x v="1"/>
    <n v="10"/>
    <x v="5"/>
    <n v="26"/>
    <x v="2"/>
    <x v="0"/>
    <n v="1365"/>
    <n v="0.91"/>
    <n v="1"/>
  </r>
  <r>
    <n v="258"/>
    <d v="2023-12-29T00:00:00"/>
    <d v="1899-12-30T17:40:00"/>
    <n v="109"/>
    <x v="1"/>
    <x v="5"/>
    <x v="0"/>
    <n v="1"/>
    <n v="50"/>
    <n v="22"/>
    <n v="50"/>
    <x v="1"/>
    <n v="12"/>
    <x v="2"/>
    <n v="29"/>
    <x v="3"/>
    <x v="0"/>
    <n v="28"/>
    <n v="0.56000000000000005"/>
    <n v="0"/>
  </r>
  <r>
    <n v="485"/>
    <d v="2022-11-08T00:00:00"/>
    <d v="1899-12-30T17:30:00"/>
    <n v="101"/>
    <x v="0"/>
    <x v="24"/>
    <x v="2"/>
    <n v="1"/>
    <n v="30"/>
    <n v="11.4"/>
    <n v="30"/>
    <x v="0"/>
    <n v="11"/>
    <x v="0"/>
    <n v="8"/>
    <x v="6"/>
    <x v="0"/>
    <n v="18.600000000000001"/>
    <n v="0.62"/>
    <n v="0"/>
  </r>
  <r>
    <n v="576"/>
    <d v="2023-12-25T00:00:00"/>
    <d v="1899-12-30T17:30:00"/>
    <n v="113"/>
    <x v="1"/>
    <x v="19"/>
    <x v="1"/>
    <n v="3"/>
    <n v="50"/>
    <n v="20"/>
    <n v="150"/>
    <x v="1"/>
    <n v="12"/>
    <x v="2"/>
    <n v="25"/>
    <x v="1"/>
    <x v="0"/>
    <n v="130"/>
    <n v="0.86666666699999995"/>
    <n v="1"/>
  </r>
  <r>
    <n v="1199"/>
    <d v="2023-12-16T00:00:00"/>
    <d v="1899-12-30T17:46:00"/>
    <n v="110"/>
    <x v="0"/>
    <x v="14"/>
    <x v="1"/>
    <n v="3"/>
    <n v="500"/>
    <n v="190"/>
    <n v="1500"/>
    <x v="1"/>
    <n v="12"/>
    <x v="2"/>
    <n v="16"/>
    <x v="0"/>
    <x v="0"/>
    <n v="1310"/>
    <n v="0.87333333300000004"/>
    <n v="1"/>
  </r>
  <r>
    <n v="1258"/>
    <d v="2022-12-03T00:00:00"/>
    <d v="1899-12-30T20:27:00"/>
    <n v="64"/>
    <x v="1"/>
    <x v="5"/>
    <x v="0"/>
    <n v="1"/>
    <n v="50"/>
    <n v="21.5"/>
    <n v="50"/>
    <x v="0"/>
    <n v="12"/>
    <x v="2"/>
    <n v="3"/>
    <x v="0"/>
    <x v="0"/>
    <n v="28.5"/>
    <n v="0.56999999999999995"/>
    <n v="0"/>
  </r>
  <r>
    <n v="1485"/>
    <d v="2022-09-24T00:00:00"/>
    <d v="1899-12-30T18:29:00"/>
    <n v="66"/>
    <x v="0"/>
    <x v="24"/>
    <x v="2"/>
    <n v="1"/>
    <n v="30"/>
    <n v="15.6"/>
    <n v="30"/>
    <x v="0"/>
    <n v="9"/>
    <x v="9"/>
    <n v="24"/>
    <x v="0"/>
    <x v="1"/>
    <n v="14.4"/>
    <n v="0.48"/>
    <n v="0"/>
  </r>
  <r>
    <n v="1576"/>
    <d v="2022-12-14T00:00:00"/>
    <d v="1899-12-30T18:34:00"/>
    <n v="108"/>
    <x v="1"/>
    <x v="19"/>
    <x v="1"/>
    <n v="3"/>
    <n v="50"/>
    <n v="27.5"/>
    <n v="150"/>
    <x v="0"/>
    <n v="12"/>
    <x v="2"/>
    <n v="14"/>
    <x v="4"/>
    <x v="0"/>
    <n v="122.5"/>
    <n v="0.81666666700000001"/>
    <n v="1"/>
  </r>
  <r>
    <n v="65"/>
    <d v="2022-12-11T00:00:00"/>
    <d v="1899-12-30T20:03:00"/>
    <n v="84"/>
    <x v="0"/>
    <x v="12"/>
    <x v="2"/>
    <n v="4"/>
    <n v="500"/>
    <n v="160"/>
    <n v="2000"/>
    <x v="0"/>
    <n v="12"/>
    <x v="2"/>
    <n v="11"/>
    <x v="5"/>
    <x v="0"/>
    <n v="1840"/>
    <n v="0.92"/>
    <n v="1"/>
  </r>
  <r>
    <n v="311"/>
    <d v="2023-11-20T00:00:00"/>
    <d v="1899-12-30T21:01:00"/>
    <n v="61"/>
    <x v="1"/>
    <x v="37"/>
    <x v="1"/>
    <n v="4"/>
    <n v="25"/>
    <n v="9.75"/>
    <n v="100"/>
    <x v="1"/>
    <n v="11"/>
    <x v="0"/>
    <n v="20"/>
    <x v="1"/>
    <x v="0"/>
    <n v="90.25"/>
    <n v="0.90249999999999997"/>
    <n v="0"/>
  </r>
  <r>
    <n v="791"/>
    <d v="2022-09-04T00:00:00"/>
    <d v="1899-12-30T16:28:00"/>
    <n v="106"/>
    <x v="1"/>
    <x v="12"/>
    <x v="1"/>
    <n v="1"/>
    <n v="25"/>
    <n v="11.75"/>
    <n v="25"/>
    <x v="0"/>
    <n v="9"/>
    <x v="9"/>
    <n v="4"/>
    <x v="5"/>
    <x v="1"/>
    <n v="13.25"/>
    <n v="0.53"/>
    <n v="0"/>
  </r>
  <r>
    <n v="971"/>
    <d v="2023-12-30T00:00:00"/>
    <d v="1899-12-30T16:50:00"/>
    <n v="64"/>
    <x v="1"/>
    <x v="17"/>
    <x v="2"/>
    <n v="4"/>
    <n v="50"/>
    <n v="26.5"/>
    <n v="200"/>
    <x v="1"/>
    <n v="12"/>
    <x v="2"/>
    <n v="30"/>
    <x v="0"/>
    <x v="0"/>
    <n v="173.5"/>
    <n v="0.86750000000000005"/>
    <n v="1"/>
  </r>
  <r>
    <n v="999"/>
    <d v="2022-12-14T00:00:00"/>
    <d v="1899-12-30T16:45:00"/>
    <n v="110"/>
    <x v="1"/>
    <x v="31"/>
    <x v="2"/>
    <n v="3"/>
    <n v="50"/>
    <n v="21.5"/>
    <n v="150"/>
    <x v="0"/>
    <n v="12"/>
    <x v="2"/>
    <n v="14"/>
    <x v="4"/>
    <x v="0"/>
    <n v="128.5"/>
    <n v="0.85666666700000005"/>
    <n v="1"/>
  </r>
  <r>
    <n v="1065"/>
    <d v="2023-10-24T00:00:00"/>
    <d v="1899-12-30T15:16:00"/>
    <n v="76"/>
    <x v="0"/>
    <x v="12"/>
    <x v="2"/>
    <n v="4"/>
    <n v="500"/>
    <n v="175"/>
    <n v="2000"/>
    <x v="1"/>
    <n v="10"/>
    <x v="5"/>
    <n v="24"/>
    <x v="6"/>
    <x v="0"/>
    <n v="1825"/>
    <n v="0.91249999999999998"/>
    <n v="1"/>
  </r>
  <r>
    <n v="1311"/>
    <d v="2023-11-24T00:00:00"/>
    <d v="1899-12-30T15:22:00"/>
    <n v="84"/>
    <x v="1"/>
    <x v="37"/>
    <x v="1"/>
    <n v="4"/>
    <n v="25"/>
    <n v="9.25"/>
    <n v="100"/>
    <x v="1"/>
    <n v="11"/>
    <x v="0"/>
    <n v="24"/>
    <x v="3"/>
    <x v="0"/>
    <n v="90.75"/>
    <n v="0.90749999999999997"/>
    <n v="0"/>
  </r>
  <r>
    <n v="1791"/>
    <d v="2022-10-06T00:00:00"/>
    <d v="1899-12-30T14:52:00"/>
    <n v="87"/>
    <x v="1"/>
    <x v="12"/>
    <x v="1"/>
    <n v="1"/>
    <n v="25"/>
    <n v="7"/>
    <n v="25"/>
    <x v="0"/>
    <n v="10"/>
    <x v="5"/>
    <n v="6"/>
    <x v="2"/>
    <x v="0"/>
    <n v="18"/>
    <n v="0.72"/>
    <n v="0"/>
  </r>
  <r>
    <n v="1971"/>
    <d v="2022-09-12T00:00:00"/>
    <d v="1899-12-30T16:19:00"/>
    <n v="90"/>
    <x v="1"/>
    <x v="17"/>
    <x v="2"/>
    <n v="4"/>
    <n v="50"/>
    <n v="19"/>
    <n v="200"/>
    <x v="0"/>
    <n v="9"/>
    <x v="9"/>
    <n v="12"/>
    <x v="1"/>
    <x v="1"/>
    <n v="181"/>
    <n v="0.90500000000000003"/>
    <n v="1"/>
  </r>
  <r>
    <n v="1999"/>
    <d v="2022-11-12T00:00:00"/>
    <d v="1899-12-30T13:06:00"/>
    <n v="61"/>
    <x v="1"/>
    <x v="31"/>
    <x v="2"/>
    <n v="3"/>
    <n v="50"/>
    <n v="13"/>
    <n v="150"/>
    <x v="0"/>
    <n v="11"/>
    <x v="0"/>
    <n v="12"/>
    <x v="0"/>
    <x v="0"/>
    <n v="137"/>
    <n v="0.91333333299999997"/>
    <n v="1"/>
  </r>
  <r>
    <n v="395"/>
    <d v="2022-12-01T00:00:00"/>
    <d v="1899-12-30T15:00:00"/>
    <n v="76"/>
    <x v="0"/>
    <x v="20"/>
    <x v="2"/>
    <n v="2"/>
    <n v="500"/>
    <n v="175"/>
    <n v="1000"/>
    <x v="0"/>
    <n v="12"/>
    <x v="2"/>
    <n v="1"/>
    <x v="2"/>
    <x v="0"/>
    <n v="825"/>
    <n v="0.82499999999999996"/>
    <n v="1"/>
  </r>
  <r>
    <n v="535"/>
    <d v="2023-11-20T00:00:00"/>
    <d v="1899-12-30T13:46:00"/>
    <n v="59"/>
    <x v="0"/>
    <x v="35"/>
    <x v="1"/>
    <n v="3"/>
    <n v="30"/>
    <n v="16.2"/>
    <n v="90"/>
    <x v="1"/>
    <n v="11"/>
    <x v="0"/>
    <n v="20"/>
    <x v="1"/>
    <x v="0"/>
    <n v="73.8"/>
    <n v="0.82"/>
    <n v="0"/>
  </r>
  <r>
    <n v="580"/>
    <d v="2022-11-14T00:00:00"/>
    <d v="1899-12-30T14:44:00"/>
    <n v="104"/>
    <x v="1"/>
    <x v="16"/>
    <x v="0"/>
    <n v="3"/>
    <n v="500"/>
    <n v="200"/>
    <n v="1500"/>
    <x v="0"/>
    <n v="11"/>
    <x v="0"/>
    <n v="14"/>
    <x v="1"/>
    <x v="0"/>
    <n v="1300"/>
    <n v="0.86666666699999995"/>
    <n v="1"/>
  </r>
  <r>
    <n v="712"/>
    <d v="2023-09-12T00:00:00"/>
    <d v="1899-12-30T14:15:00"/>
    <n v="108"/>
    <x v="1"/>
    <x v="10"/>
    <x v="1"/>
    <n v="2"/>
    <n v="25"/>
    <n v="11.5"/>
    <n v="50"/>
    <x v="1"/>
    <n v="9"/>
    <x v="9"/>
    <n v="12"/>
    <x v="6"/>
    <x v="1"/>
    <n v="38.5"/>
    <n v="0.77"/>
    <n v="0"/>
  </r>
  <r>
    <n v="868"/>
    <d v="2023-12-04T00:00:00"/>
    <d v="1899-12-30T13:39:00"/>
    <n v="110"/>
    <x v="1"/>
    <x v="38"/>
    <x v="2"/>
    <n v="1"/>
    <n v="300"/>
    <n v="111"/>
    <n v="300"/>
    <x v="1"/>
    <n v="12"/>
    <x v="2"/>
    <n v="4"/>
    <x v="1"/>
    <x v="0"/>
    <n v="189"/>
    <n v="0.63"/>
    <n v="1"/>
  </r>
  <r>
    <n v="1395"/>
    <d v="2023-09-10T00:00:00"/>
    <d v="1899-12-30T14:18:00"/>
    <n v="91"/>
    <x v="0"/>
    <x v="20"/>
    <x v="2"/>
    <n v="2"/>
    <n v="500"/>
    <n v="130"/>
    <n v="1000"/>
    <x v="1"/>
    <n v="9"/>
    <x v="9"/>
    <n v="10"/>
    <x v="5"/>
    <x v="1"/>
    <n v="870"/>
    <n v="0.87"/>
    <n v="1"/>
  </r>
  <r>
    <n v="1535"/>
    <d v="2023-12-18T00:00:00"/>
    <d v="1899-12-30T15:31:00"/>
    <n v="52"/>
    <x v="0"/>
    <x v="35"/>
    <x v="1"/>
    <n v="3"/>
    <n v="30"/>
    <n v="9.9"/>
    <n v="90"/>
    <x v="1"/>
    <n v="12"/>
    <x v="2"/>
    <n v="18"/>
    <x v="1"/>
    <x v="0"/>
    <n v="80.099999999999994"/>
    <n v="0.89"/>
    <n v="0"/>
  </r>
  <r>
    <n v="1580"/>
    <d v="2023-09-21T00:00:00"/>
    <d v="1899-12-30T15:47:00"/>
    <n v="105"/>
    <x v="1"/>
    <x v="16"/>
    <x v="0"/>
    <n v="3"/>
    <n v="500"/>
    <n v="250"/>
    <n v="1500"/>
    <x v="1"/>
    <n v="9"/>
    <x v="9"/>
    <n v="21"/>
    <x v="2"/>
    <x v="1"/>
    <n v="1250"/>
    <n v="0.83333333300000001"/>
    <n v="1"/>
  </r>
  <r>
    <n v="1712"/>
    <d v="2023-11-25T00:00:00"/>
    <d v="1899-12-30T16:37:00"/>
    <n v="92"/>
    <x v="1"/>
    <x v="10"/>
    <x v="1"/>
    <n v="2"/>
    <n v="25"/>
    <n v="8.75"/>
    <n v="50"/>
    <x v="1"/>
    <n v="11"/>
    <x v="0"/>
    <n v="25"/>
    <x v="0"/>
    <x v="0"/>
    <n v="41.25"/>
    <n v="0.82499999999999996"/>
    <n v="0"/>
  </r>
  <r>
    <n v="1868"/>
    <d v="2022-12-06T00:00:00"/>
    <d v="1899-12-30T16:23:00"/>
    <n v="78"/>
    <x v="1"/>
    <x v="38"/>
    <x v="2"/>
    <n v="1"/>
    <n v="300"/>
    <n v="138"/>
    <n v="300"/>
    <x v="0"/>
    <n v="12"/>
    <x v="2"/>
    <n v="6"/>
    <x v="6"/>
    <x v="0"/>
    <n v="162"/>
    <n v="0.54"/>
    <n v="1"/>
  </r>
  <r>
    <n v="531"/>
    <d v="2022-10-08T00:00:00"/>
    <d v="1899-12-30T12:30:00"/>
    <n v="105"/>
    <x v="0"/>
    <x v="16"/>
    <x v="2"/>
    <n v="1"/>
    <n v="500"/>
    <n v="275"/>
    <n v="500"/>
    <x v="0"/>
    <n v="10"/>
    <x v="5"/>
    <n v="8"/>
    <x v="0"/>
    <x v="0"/>
    <n v="225"/>
    <n v="0.45"/>
    <n v="1"/>
  </r>
  <r>
    <n v="550"/>
    <d v="2023-09-27T00:00:00"/>
    <d v="1899-12-30T16:58:00"/>
    <n v="80"/>
    <x v="0"/>
    <x v="2"/>
    <x v="0"/>
    <n v="3"/>
    <n v="300"/>
    <n v="90"/>
    <n v="900"/>
    <x v="1"/>
    <n v="9"/>
    <x v="9"/>
    <n v="27"/>
    <x v="4"/>
    <x v="1"/>
    <n v="810"/>
    <n v="0.9"/>
    <n v="1"/>
  </r>
  <r>
    <n v="1531"/>
    <d v="2022-09-22T00:00:00"/>
    <d v="1899-12-30T13:19:00"/>
    <n v="56"/>
    <x v="0"/>
    <x v="16"/>
    <x v="2"/>
    <n v="1"/>
    <n v="500"/>
    <n v="250"/>
    <n v="500"/>
    <x v="0"/>
    <n v="9"/>
    <x v="9"/>
    <n v="22"/>
    <x v="2"/>
    <x v="1"/>
    <n v="250"/>
    <n v="0.5"/>
    <n v="1"/>
  </r>
  <r>
    <n v="1550"/>
    <d v="2022-09-30T00:00:00"/>
    <d v="1899-12-30T13:11:00"/>
    <n v="73"/>
    <x v="0"/>
    <x v="2"/>
    <x v="0"/>
    <n v="3"/>
    <n v="300"/>
    <n v="147"/>
    <n v="900"/>
    <x v="0"/>
    <n v="9"/>
    <x v="9"/>
    <n v="30"/>
    <x v="3"/>
    <x v="1"/>
    <n v="753"/>
    <n v="0.83666666700000003"/>
    <n v="1"/>
  </r>
  <r>
    <n v="392"/>
    <d v="2022-12-21T00:00:00"/>
    <d v="1899-12-30T13:11:00"/>
    <n v="77"/>
    <x v="0"/>
    <x v="17"/>
    <x v="0"/>
    <n v="2"/>
    <n v="300"/>
    <n v="78"/>
    <n v="600"/>
    <x v="0"/>
    <n v="12"/>
    <x v="2"/>
    <n v="21"/>
    <x v="4"/>
    <x v="0"/>
    <n v="522"/>
    <n v="0.87"/>
    <n v="1"/>
  </r>
  <r>
    <n v="453"/>
    <d v="2022-10-14T00:00:00"/>
    <d v="1899-12-30T14:45:00"/>
    <n v="90"/>
    <x v="1"/>
    <x v="6"/>
    <x v="0"/>
    <n v="2"/>
    <n v="500"/>
    <n v="265"/>
    <n v="1000"/>
    <x v="0"/>
    <n v="10"/>
    <x v="5"/>
    <n v="14"/>
    <x v="3"/>
    <x v="0"/>
    <n v="735"/>
    <n v="0.73499999999999999"/>
    <n v="1"/>
  </r>
  <r>
    <n v="540"/>
    <d v="2022-12-22T00:00:00"/>
    <d v="1899-12-30T16:17:00"/>
    <n v="79"/>
    <x v="1"/>
    <x v="1"/>
    <x v="2"/>
    <n v="3"/>
    <n v="300"/>
    <n v="87"/>
    <n v="900"/>
    <x v="0"/>
    <n v="12"/>
    <x v="2"/>
    <n v="22"/>
    <x v="2"/>
    <x v="0"/>
    <n v="813"/>
    <n v="0.90333333299999996"/>
    <n v="1"/>
  </r>
  <r>
    <n v="625"/>
    <d v="2022-12-25T00:00:00"/>
    <d v="1899-12-30T13:36:00"/>
    <n v="68"/>
    <x v="0"/>
    <x v="16"/>
    <x v="0"/>
    <n v="1"/>
    <n v="300"/>
    <n v="123"/>
    <n v="300"/>
    <x v="0"/>
    <n v="12"/>
    <x v="2"/>
    <n v="25"/>
    <x v="5"/>
    <x v="0"/>
    <n v="177"/>
    <n v="0.59"/>
    <n v="1"/>
  </r>
  <r>
    <n v="1392"/>
    <d v="2022-09-12T00:00:00"/>
    <d v="1899-12-30T12:28:00"/>
    <n v="70"/>
    <x v="0"/>
    <x v="17"/>
    <x v="0"/>
    <n v="2"/>
    <n v="300"/>
    <n v="90"/>
    <n v="600"/>
    <x v="0"/>
    <n v="9"/>
    <x v="9"/>
    <n v="12"/>
    <x v="1"/>
    <x v="1"/>
    <n v="510"/>
    <n v="0.85"/>
    <n v="1"/>
  </r>
  <r>
    <n v="1453"/>
    <d v="2023-10-14T00:00:00"/>
    <d v="1899-12-30T13:24:00"/>
    <n v="113"/>
    <x v="1"/>
    <x v="6"/>
    <x v="0"/>
    <n v="2"/>
    <n v="500"/>
    <n v="205"/>
    <n v="1000"/>
    <x v="1"/>
    <n v="10"/>
    <x v="5"/>
    <n v="14"/>
    <x v="0"/>
    <x v="0"/>
    <n v="795"/>
    <n v="0.79500000000000004"/>
    <n v="1"/>
  </r>
  <r>
    <n v="1540"/>
    <d v="2023-10-12T00:00:00"/>
    <d v="1899-12-30T16:51:00"/>
    <n v="115"/>
    <x v="1"/>
    <x v="1"/>
    <x v="2"/>
    <n v="3"/>
    <n v="300"/>
    <n v="147"/>
    <n v="900"/>
    <x v="1"/>
    <n v="10"/>
    <x v="5"/>
    <n v="12"/>
    <x v="2"/>
    <x v="0"/>
    <n v="753"/>
    <n v="0.83666666700000003"/>
    <n v="1"/>
  </r>
  <r>
    <n v="1625"/>
    <d v="2023-09-27T00:00:00"/>
    <d v="1899-12-30T16:36:00"/>
    <n v="52"/>
    <x v="0"/>
    <x v="16"/>
    <x v="0"/>
    <n v="1"/>
    <n v="300"/>
    <n v="147"/>
    <n v="300"/>
    <x v="1"/>
    <n v="9"/>
    <x v="9"/>
    <n v="27"/>
    <x v="4"/>
    <x v="1"/>
    <n v="153"/>
    <n v="0.51"/>
    <n v="1"/>
  </r>
  <r>
    <n v="244"/>
    <d v="2023-09-14T00:00:00"/>
    <d v="1899-12-30T13:57:00"/>
    <n v="101"/>
    <x v="0"/>
    <x v="32"/>
    <x v="1"/>
    <n v="2"/>
    <n v="50"/>
    <n v="20.5"/>
    <n v="100"/>
    <x v="1"/>
    <n v="9"/>
    <x v="9"/>
    <n v="14"/>
    <x v="2"/>
    <x v="1"/>
    <n v="79.5"/>
    <n v="0.79500000000000004"/>
    <n v="0"/>
  </r>
  <r>
    <n v="355"/>
    <d v="2022-09-23T00:00:00"/>
    <d v="1899-12-30T13:42:00"/>
    <n v="96"/>
    <x v="1"/>
    <x v="46"/>
    <x v="2"/>
    <n v="1"/>
    <n v="500"/>
    <n v="260"/>
    <n v="500"/>
    <x v="0"/>
    <n v="9"/>
    <x v="9"/>
    <n v="23"/>
    <x v="3"/>
    <x v="1"/>
    <n v="240"/>
    <n v="0.48"/>
    <n v="1"/>
  </r>
  <r>
    <n v="468"/>
    <d v="2022-12-05T00:00:00"/>
    <d v="1899-12-30T14:32:00"/>
    <n v="86"/>
    <x v="0"/>
    <x v="2"/>
    <x v="2"/>
    <n v="1"/>
    <n v="25"/>
    <n v="12.25"/>
    <n v="25"/>
    <x v="0"/>
    <n v="12"/>
    <x v="2"/>
    <n v="5"/>
    <x v="1"/>
    <x v="0"/>
    <n v="12.75"/>
    <n v="0.51"/>
    <n v="0"/>
  </r>
  <r>
    <n v="700"/>
    <d v="2022-09-01T00:00:00"/>
    <d v="1899-12-30T15:07:00"/>
    <n v="61"/>
    <x v="0"/>
    <x v="31"/>
    <x v="2"/>
    <n v="4"/>
    <n v="500"/>
    <n v="250"/>
    <n v="2000"/>
    <x v="0"/>
    <n v="9"/>
    <x v="9"/>
    <n v="1"/>
    <x v="2"/>
    <x v="1"/>
    <n v="1750"/>
    <n v="0.875"/>
    <n v="1"/>
  </r>
  <r>
    <n v="752"/>
    <d v="2023-09-20T00:00:00"/>
    <d v="1899-12-30T16:06:00"/>
    <n v="79"/>
    <x v="0"/>
    <x v="33"/>
    <x v="0"/>
    <n v="2"/>
    <n v="50"/>
    <n v="13"/>
    <n v="100"/>
    <x v="1"/>
    <n v="9"/>
    <x v="9"/>
    <n v="20"/>
    <x v="4"/>
    <x v="1"/>
    <n v="87"/>
    <n v="0.87"/>
    <n v="0"/>
  </r>
  <r>
    <n v="828"/>
    <d v="2022-11-24T00:00:00"/>
    <d v="1899-12-30T15:54:00"/>
    <n v="76"/>
    <x v="1"/>
    <x v="19"/>
    <x v="2"/>
    <n v="4"/>
    <n v="300"/>
    <n v="132"/>
    <n v="1200"/>
    <x v="0"/>
    <n v="11"/>
    <x v="0"/>
    <n v="24"/>
    <x v="2"/>
    <x v="0"/>
    <n v="1068"/>
    <n v="0.89"/>
    <n v="1"/>
  </r>
  <r>
    <n v="1244"/>
    <d v="2022-12-11T00:00:00"/>
    <d v="1899-12-30T16:47:00"/>
    <n v="100"/>
    <x v="0"/>
    <x v="32"/>
    <x v="1"/>
    <n v="2"/>
    <n v="50"/>
    <n v="19.5"/>
    <n v="100"/>
    <x v="0"/>
    <n v="12"/>
    <x v="2"/>
    <n v="11"/>
    <x v="5"/>
    <x v="0"/>
    <n v="80.5"/>
    <n v="0.80500000000000005"/>
    <n v="0"/>
  </r>
  <r>
    <n v="1355"/>
    <d v="2023-09-17T00:00:00"/>
    <d v="1899-12-30T13:19:00"/>
    <n v="107"/>
    <x v="1"/>
    <x v="46"/>
    <x v="2"/>
    <n v="1"/>
    <n v="500"/>
    <n v="155"/>
    <n v="500"/>
    <x v="1"/>
    <n v="9"/>
    <x v="9"/>
    <n v="17"/>
    <x v="5"/>
    <x v="1"/>
    <n v="345"/>
    <n v="0.69"/>
    <n v="1"/>
  </r>
  <r>
    <n v="1468"/>
    <d v="2023-11-08T00:00:00"/>
    <d v="1899-12-30T13:14:00"/>
    <n v="73"/>
    <x v="0"/>
    <x v="2"/>
    <x v="2"/>
    <n v="1"/>
    <n v="25"/>
    <n v="9.75"/>
    <n v="25"/>
    <x v="1"/>
    <n v="11"/>
    <x v="0"/>
    <n v="8"/>
    <x v="4"/>
    <x v="0"/>
    <n v="15.25"/>
    <n v="0.61"/>
    <n v="0"/>
  </r>
  <r>
    <n v="1700"/>
    <d v="2023-09-27T00:00:00"/>
    <d v="1899-12-30T16:10:00"/>
    <n v="87"/>
    <x v="0"/>
    <x v="31"/>
    <x v="2"/>
    <n v="4"/>
    <n v="500"/>
    <n v="210"/>
    <n v="2000"/>
    <x v="1"/>
    <n v="9"/>
    <x v="9"/>
    <n v="27"/>
    <x v="4"/>
    <x v="1"/>
    <n v="1790"/>
    <n v="0.89500000000000002"/>
    <n v="1"/>
  </r>
  <r>
    <n v="1752"/>
    <d v="2023-10-21T00:00:00"/>
    <d v="1899-12-30T13:01:00"/>
    <n v="79"/>
    <x v="0"/>
    <x v="33"/>
    <x v="0"/>
    <n v="2"/>
    <n v="50"/>
    <n v="14.5"/>
    <n v="100"/>
    <x v="1"/>
    <n v="10"/>
    <x v="5"/>
    <n v="21"/>
    <x v="0"/>
    <x v="0"/>
    <n v="85.5"/>
    <n v="0.85499999999999998"/>
    <n v="0"/>
  </r>
  <r>
    <n v="1828"/>
    <d v="2022-10-14T00:00:00"/>
    <d v="1899-12-30T14:14:00"/>
    <n v="99"/>
    <x v="1"/>
    <x v="19"/>
    <x v="2"/>
    <n v="4"/>
    <n v="300"/>
    <n v="165"/>
    <n v="1200"/>
    <x v="0"/>
    <n v="10"/>
    <x v="5"/>
    <n v="14"/>
    <x v="3"/>
    <x v="0"/>
    <n v="1035"/>
    <n v="0.86250000000000004"/>
    <n v="1"/>
  </r>
  <r>
    <n v="80"/>
    <d v="2023-10-22T00:00:00"/>
    <d v="1899-12-30T16:51:00"/>
    <n v="82"/>
    <x v="1"/>
    <x v="3"/>
    <x v="0"/>
    <n v="2"/>
    <n v="30"/>
    <n v="12.3"/>
    <n v="60"/>
    <x v="1"/>
    <n v="10"/>
    <x v="5"/>
    <n v="22"/>
    <x v="5"/>
    <x v="0"/>
    <n v="47.7"/>
    <n v="0.79500000000000004"/>
    <n v="0"/>
  </r>
  <r>
    <n v="214"/>
    <d v="2022-11-05T00:00:00"/>
    <d v="1899-12-30T16:31:00"/>
    <n v="53"/>
    <x v="0"/>
    <x v="36"/>
    <x v="1"/>
    <n v="2"/>
    <n v="30"/>
    <n v="8.1"/>
    <n v="60"/>
    <x v="0"/>
    <n v="11"/>
    <x v="0"/>
    <n v="5"/>
    <x v="0"/>
    <x v="0"/>
    <n v="51.9"/>
    <n v="0.86499999999999999"/>
    <n v="0"/>
  </r>
  <r>
    <n v="361"/>
    <d v="2022-09-12T00:00:00"/>
    <d v="1899-12-30T16:37:00"/>
    <n v="112"/>
    <x v="1"/>
    <x v="23"/>
    <x v="2"/>
    <n v="4"/>
    <n v="300"/>
    <n v="81"/>
    <n v="1200"/>
    <x v="0"/>
    <n v="9"/>
    <x v="9"/>
    <n v="12"/>
    <x v="1"/>
    <x v="1"/>
    <n v="1119"/>
    <n v="0.9325"/>
    <n v="1"/>
  </r>
  <r>
    <n v="526"/>
    <d v="2022-11-19T00:00:00"/>
    <d v="1899-12-30T12:47:00"/>
    <n v="65"/>
    <x v="0"/>
    <x v="19"/>
    <x v="0"/>
    <n v="2"/>
    <n v="50"/>
    <n v="19.5"/>
    <n v="100"/>
    <x v="0"/>
    <n v="11"/>
    <x v="0"/>
    <n v="19"/>
    <x v="0"/>
    <x v="0"/>
    <n v="80.5"/>
    <n v="0.80500000000000005"/>
    <n v="0"/>
  </r>
  <r>
    <n v="1080"/>
    <d v="2022-12-08T00:00:00"/>
    <d v="1899-12-30T13:31:00"/>
    <n v="70"/>
    <x v="1"/>
    <x v="3"/>
    <x v="0"/>
    <n v="2"/>
    <n v="30"/>
    <n v="13.2"/>
    <n v="60"/>
    <x v="0"/>
    <n v="12"/>
    <x v="2"/>
    <n v="8"/>
    <x v="2"/>
    <x v="0"/>
    <n v="46.8"/>
    <n v="0.78"/>
    <n v="0"/>
  </r>
  <r>
    <n v="1214"/>
    <d v="2023-11-18T00:00:00"/>
    <d v="1899-12-30T14:24:00"/>
    <n v="50"/>
    <x v="0"/>
    <x v="36"/>
    <x v="1"/>
    <n v="2"/>
    <n v="30"/>
    <n v="11.1"/>
    <n v="60"/>
    <x v="1"/>
    <n v="11"/>
    <x v="0"/>
    <n v="18"/>
    <x v="0"/>
    <x v="0"/>
    <n v="48.9"/>
    <n v="0.81499999999999995"/>
    <n v="0"/>
  </r>
  <r>
    <n v="1361"/>
    <d v="2023-09-12T00:00:00"/>
    <d v="1899-12-30T16:00:00"/>
    <n v="89"/>
    <x v="1"/>
    <x v="23"/>
    <x v="2"/>
    <n v="4"/>
    <n v="300"/>
    <n v="153"/>
    <n v="1200"/>
    <x v="1"/>
    <n v="9"/>
    <x v="9"/>
    <n v="12"/>
    <x v="6"/>
    <x v="1"/>
    <n v="1047"/>
    <n v="0.87250000000000005"/>
    <n v="1"/>
  </r>
  <r>
    <n v="1526"/>
    <d v="2022-09-25T00:00:00"/>
    <d v="1899-12-30T15:06:00"/>
    <n v="84"/>
    <x v="0"/>
    <x v="19"/>
    <x v="0"/>
    <n v="2"/>
    <n v="50"/>
    <n v="26.5"/>
    <n v="100"/>
    <x v="0"/>
    <n v="9"/>
    <x v="9"/>
    <n v="25"/>
    <x v="5"/>
    <x v="1"/>
    <n v="73.5"/>
    <n v="0.73499999999999999"/>
    <n v="0"/>
  </r>
  <r>
    <n v="265"/>
    <d v="2022-11-24T00:00:00"/>
    <d v="1899-12-30T12:12:00"/>
    <n v="80"/>
    <x v="0"/>
    <x v="46"/>
    <x v="0"/>
    <n v="3"/>
    <n v="300"/>
    <n v="132"/>
    <n v="900"/>
    <x v="0"/>
    <n v="11"/>
    <x v="0"/>
    <n v="24"/>
    <x v="2"/>
    <x v="0"/>
    <n v="768"/>
    <n v="0.85333333300000003"/>
    <n v="1"/>
  </r>
  <r>
    <n v="586"/>
    <d v="2023-12-20T00:00:00"/>
    <d v="1899-12-30T14:57:00"/>
    <n v="84"/>
    <x v="0"/>
    <x v="20"/>
    <x v="2"/>
    <n v="1"/>
    <n v="50"/>
    <n v="21.5"/>
    <n v="50"/>
    <x v="1"/>
    <n v="12"/>
    <x v="2"/>
    <n v="20"/>
    <x v="4"/>
    <x v="0"/>
    <n v="28.5"/>
    <n v="0.56999999999999995"/>
    <n v="0"/>
  </r>
  <r>
    <n v="1265"/>
    <d v="2022-11-05T00:00:00"/>
    <d v="1899-12-30T14:35:00"/>
    <n v="86"/>
    <x v="0"/>
    <x v="46"/>
    <x v="0"/>
    <n v="3"/>
    <n v="300"/>
    <n v="111"/>
    <n v="900"/>
    <x v="0"/>
    <n v="11"/>
    <x v="0"/>
    <n v="5"/>
    <x v="0"/>
    <x v="0"/>
    <n v="789"/>
    <n v="0.87666666699999996"/>
    <n v="1"/>
  </r>
  <r>
    <n v="1586"/>
    <d v="2022-11-04T00:00:00"/>
    <d v="1899-12-30T16:25:00"/>
    <n v="59"/>
    <x v="0"/>
    <x v="20"/>
    <x v="2"/>
    <n v="1"/>
    <n v="50"/>
    <n v="14"/>
    <n v="50"/>
    <x v="0"/>
    <n v="11"/>
    <x v="0"/>
    <n v="4"/>
    <x v="3"/>
    <x v="0"/>
    <n v="36"/>
    <n v="0.72"/>
    <n v="0"/>
  </r>
  <r>
    <n v="336"/>
    <d v="2023-11-04T00:00:00"/>
    <d v="1899-12-30T13:05:00"/>
    <n v="67"/>
    <x v="1"/>
    <x v="41"/>
    <x v="1"/>
    <n v="3"/>
    <n v="50"/>
    <n v="25"/>
    <n v="150"/>
    <x v="1"/>
    <n v="11"/>
    <x v="0"/>
    <n v="4"/>
    <x v="0"/>
    <x v="0"/>
    <n v="125"/>
    <n v="0.83333333300000001"/>
    <n v="1"/>
  </r>
  <r>
    <n v="571"/>
    <d v="2022-10-20T00:00:00"/>
    <d v="1899-12-30T12:51:00"/>
    <n v="87"/>
    <x v="1"/>
    <x v="0"/>
    <x v="2"/>
    <n v="1"/>
    <n v="50"/>
    <n v="16"/>
    <n v="50"/>
    <x v="0"/>
    <n v="10"/>
    <x v="5"/>
    <n v="20"/>
    <x v="2"/>
    <x v="0"/>
    <n v="34"/>
    <n v="0.68"/>
    <n v="0"/>
  </r>
  <r>
    <n v="1336"/>
    <d v="2022-09-23T00:00:00"/>
    <d v="1899-12-30T13:27:00"/>
    <n v="74"/>
    <x v="1"/>
    <x v="41"/>
    <x v="1"/>
    <n v="3"/>
    <n v="50"/>
    <n v="21.5"/>
    <n v="150"/>
    <x v="0"/>
    <n v="9"/>
    <x v="9"/>
    <n v="23"/>
    <x v="3"/>
    <x v="1"/>
    <n v="128.5"/>
    <n v="0.85666666700000005"/>
    <n v="1"/>
  </r>
  <r>
    <n v="1571"/>
    <d v="2022-11-08T00:00:00"/>
    <d v="1899-12-30T14:55:00"/>
    <n v="105"/>
    <x v="1"/>
    <x v="0"/>
    <x v="2"/>
    <n v="1"/>
    <n v="50"/>
    <n v="25"/>
    <n v="50"/>
    <x v="0"/>
    <n v="11"/>
    <x v="0"/>
    <n v="8"/>
    <x v="6"/>
    <x v="0"/>
    <n v="25"/>
    <n v="0.5"/>
    <n v="0"/>
  </r>
  <r>
    <n v="9"/>
    <d v="2022-12-02T00:00:00"/>
    <d v="1899-12-30T13:12:00"/>
    <n v="85"/>
    <x v="0"/>
    <x v="15"/>
    <x v="2"/>
    <n v="2"/>
    <n v="300"/>
    <n v="78"/>
    <n v="600"/>
    <x v="0"/>
    <n v="12"/>
    <x v="2"/>
    <n v="2"/>
    <x v="3"/>
    <x v="0"/>
    <n v="522"/>
    <n v="0.87"/>
    <n v="1"/>
  </r>
  <r>
    <n v="552"/>
    <d v="2022-10-29T00:00:00"/>
    <d v="1899-12-30T13:32:00"/>
    <n v="85"/>
    <x v="1"/>
    <x v="28"/>
    <x v="2"/>
    <n v="3"/>
    <n v="25"/>
    <n v="9.75"/>
    <n v="75"/>
    <x v="0"/>
    <n v="10"/>
    <x v="5"/>
    <n v="29"/>
    <x v="0"/>
    <x v="0"/>
    <n v="65.25"/>
    <n v="0.87"/>
    <n v="0"/>
  </r>
  <r>
    <n v="771"/>
    <d v="2023-12-24T00:00:00"/>
    <d v="1899-12-30T12:23:00"/>
    <n v="70"/>
    <x v="0"/>
    <x v="24"/>
    <x v="2"/>
    <n v="2"/>
    <n v="25"/>
    <n v="11.75"/>
    <n v="50"/>
    <x v="1"/>
    <n v="12"/>
    <x v="2"/>
    <n v="24"/>
    <x v="5"/>
    <x v="0"/>
    <n v="38.25"/>
    <n v="0.76500000000000001"/>
    <n v="0"/>
  </r>
  <r>
    <n v="1009"/>
    <d v="2023-09-22T00:00:00"/>
    <d v="1899-12-30T14:18:00"/>
    <n v="88"/>
    <x v="0"/>
    <x v="15"/>
    <x v="2"/>
    <n v="2"/>
    <n v="300"/>
    <n v="78"/>
    <n v="600"/>
    <x v="1"/>
    <n v="9"/>
    <x v="9"/>
    <n v="22"/>
    <x v="3"/>
    <x v="1"/>
    <n v="522"/>
    <n v="0.87"/>
    <n v="1"/>
  </r>
  <r>
    <n v="1552"/>
    <d v="2022-09-25T00:00:00"/>
    <d v="1899-12-30T12:11:00"/>
    <n v="55"/>
    <x v="1"/>
    <x v="28"/>
    <x v="2"/>
    <n v="3"/>
    <n v="25"/>
    <n v="13"/>
    <n v="75"/>
    <x v="0"/>
    <n v="9"/>
    <x v="9"/>
    <n v="25"/>
    <x v="5"/>
    <x v="1"/>
    <n v="62"/>
    <n v="0.82666666700000002"/>
    <n v="0"/>
  </r>
  <r>
    <n v="1771"/>
    <d v="2023-09-13T00:00:00"/>
    <d v="1899-12-30T13:41:00"/>
    <n v="108"/>
    <x v="0"/>
    <x v="24"/>
    <x v="2"/>
    <n v="2"/>
    <n v="25"/>
    <n v="10.75"/>
    <n v="50"/>
    <x v="1"/>
    <n v="9"/>
    <x v="9"/>
    <n v="13"/>
    <x v="4"/>
    <x v="1"/>
    <n v="39.25"/>
    <n v="0.78500000000000003"/>
    <n v="0"/>
  </r>
  <r>
    <n v="496"/>
    <d v="2022-12-12T00:00:00"/>
    <d v="1899-12-30T13:07:00"/>
    <n v="91"/>
    <x v="0"/>
    <x v="8"/>
    <x v="0"/>
    <n v="2"/>
    <n v="300"/>
    <n v="141"/>
    <n v="600"/>
    <x v="0"/>
    <n v="12"/>
    <x v="2"/>
    <n v="12"/>
    <x v="1"/>
    <x v="0"/>
    <n v="459"/>
    <n v="0.76500000000000001"/>
    <n v="1"/>
  </r>
  <r>
    <n v="701"/>
    <d v="2023-11-29T00:00:00"/>
    <d v="1899-12-30T16:33:00"/>
    <n v="93"/>
    <x v="1"/>
    <x v="41"/>
    <x v="1"/>
    <n v="2"/>
    <n v="30"/>
    <n v="14.1"/>
    <n v="60"/>
    <x v="1"/>
    <n v="11"/>
    <x v="0"/>
    <n v="29"/>
    <x v="4"/>
    <x v="0"/>
    <n v="45.9"/>
    <n v="0.76500000000000001"/>
    <n v="0"/>
  </r>
  <r>
    <n v="1496"/>
    <d v="2022-09-03T00:00:00"/>
    <d v="1899-12-30T15:05:00"/>
    <n v="110"/>
    <x v="0"/>
    <x v="8"/>
    <x v="0"/>
    <n v="2"/>
    <n v="300"/>
    <n v="120"/>
    <n v="600"/>
    <x v="0"/>
    <n v="9"/>
    <x v="9"/>
    <n v="3"/>
    <x v="0"/>
    <x v="1"/>
    <n v="480"/>
    <n v="0.8"/>
    <n v="1"/>
  </r>
  <r>
    <n v="1701"/>
    <d v="2023-10-13T00:00:00"/>
    <d v="1899-12-30T15:09:00"/>
    <n v="62"/>
    <x v="1"/>
    <x v="41"/>
    <x v="1"/>
    <n v="2"/>
    <n v="30"/>
    <n v="15.9"/>
    <n v="60"/>
    <x v="1"/>
    <n v="10"/>
    <x v="5"/>
    <n v="13"/>
    <x v="3"/>
    <x v="0"/>
    <n v="44.1"/>
    <n v="0.73499999999999999"/>
    <n v="0"/>
  </r>
  <r>
    <n v="139"/>
    <d v="2023-09-15T00:00:00"/>
    <d v="1899-12-30T14:03:00"/>
    <n v="113"/>
    <x v="0"/>
    <x v="31"/>
    <x v="1"/>
    <n v="4"/>
    <n v="500"/>
    <n v="230"/>
    <n v="2000"/>
    <x v="1"/>
    <n v="9"/>
    <x v="9"/>
    <n v="15"/>
    <x v="3"/>
    <x v="1"/>
    <n v="1770"/>
    <n v="0.88500000000000001"/>
    <n v="1"/>
  </r>
  <r>
    <n v="151"/>
    <d v="2023-10-12T00:00:00"/>
    <d v="1899-12-30T15:49:00"/>
    <n v="108"/>
    <x v="0"/>
    <x v="33"/>
    <x v="0"/>
    <n v="1"/>
    <n v="50"/>
    <n v="18"/>
    <n v="50"/>
    <x v="1"/>
    <n v="10"/>
    <x v="5"/>
    <n v="12"/>
    <x v="2"/>
    <x v="0"/>
    <n v="32"/>
    <n v="0.64"/>
    <n v="0"/>
  </r>
  <r>
    <n v="1139"/>
    <d v="2023-12-21T00:00:00"/>
    <d v="1899-12-30T14:23:00"/>
    <n v="87"/>
    <x v="0"/>
    <x v="31"/>
    <x v="1"/>
    <n v="4"/>
    <n v="500"/>
    <n v="230"/>
    <n v="2000"/>
    <x v="1"/>
    <n v="12"/>
    <x v="2"/>
    <n v="21"/>
    <x v="2"/>
    <x v="0"/>
    <n v="1770"/>
    <n v="0.88500000000000001"/>
    <n v="1"/>
  </r>
  <r>
    <n v="1151"/>
    <d v="2022-12-12T00:00:00"/>
    <d v="1899-12-30T14:48:00"/>
    <n v="99"/>
    <x v="0"/>
    <x v="33"/>
    <x v="0"/>
    <n v="1"/>
    <n v="50"/>
    <n v="26"/>
    <n v="50"/>
    <x v="0"/>
    <n v="12"/>
    <x v="2"/>
    <n v="12"/>
    <x v="1"/>
    <x v="0"/>
    <n v="24"/>
    <n v="0.48"/>
    <n v="0"/>
  </r>
  <r>
    <n v="83"/>
    <d v="2022-11-27T00:00:00"/>
    <d v="1899-12-30T15:57:00"/>
    <n v="56"/>
    <x v="0"/>
    <x v="29"/>
    <x v="2"/>
    <n v="2"/>
    <n v="50"/>
    <n v="16.5"/>
    <n v="100"/>
    <x v="0"/>
    <n v="11"/>
    <x v="0"/>
    <n v="27"/>
    <x v="5"/>
    <x v="0"/>
    <n v="83.5"/>
    <n v="0.83499999999999996"/>
    <n v="0"/>
  </r>
  <r>
    <n v="153"/>
    <d v="2023-11-19T00:00:00"/>
    <d v="1899-12-30T15:52:00"/>
    <n v="62"/>
    <x v="0"/>
    <x v="15"/>
    <x v="2"/>
    <n v="2"/>
    <n v="500"/>
    <n v="195"/>
    <n v="1000"/>
    <x v="1"/>
    <n v="11"/>
    <x v="0"/>
    <n v="19"/>
    <x v="5"/>
    <x v="0"/>
    <n v="805"/>
    <n v="0.80500000000000005"/>
    <n v="1"/>
  </r>
  <r>
    <n v="451"/>
    <d v="2023-10-09T00:00:00"/>
    <d v="1899-12-30T15:38:00"/>
    <n v="74"/>
    <x v="1"/>
    <x v="14"/>
    <x v="2"/>
    <n v="1"/>
    <n v="30"/>
    <n v="13.5"/>
    <n v="30"/>
    <x v="1"/>
    <n v="10"/>
    <x v="5"/>
    <n v="9"/>
    <x v="1"/>
    <x v="0"/>
    <n v="16.5"/>
    <n v="0.55000000000000004"/>
    <n v="0"/>
  </r>
  <r>
    <n v="1083"/>
    <d v="2022-09-30T00:00:00"/>
    <d v="1899-12-30T15:46:00"/>
    <n v="99"/>
    <x v="0"/>
    <x v="29"/>
    <x v="2"/>
    <n v="2"/>
    <n v="50"/>
    <n v="17.5"/>
    <n v="100"/>
    <x v="0"/>
    <n v="9"/>
    <x v="9"/>
    <n v="30"/>
    <x v="3"/>
    <x v="1"/>
    <n v="82.5"/>
    <n v="0.82499999999999996"/>
    <n v="0"/>
  </r>
  <r>
    <n v="1153"/>
    <d v="2022-09-24T00:00:00"/>
    <d v="1899-12-30T12:30:00"/>
    <n v="91"/>
    <x v="0"/>
    <x v="15"/>
    <x v="2"/>
    <n v="2"/>
    <n v="500"/>
    <n v="265"/>
    <n v="1000"/>
    <x v="0"/>
    <n v="9"/>
    <x v="9"/>
    <n v="24"/>
    <x v="0"/>
    <x v="1"/>
    <n v="735"/>
    <n v="0.73499999999999999"/>
    <n v="1"/>
  </r>
  <r>
    <n v="1451"/>
    <d v="2022-09-23T00:00:00"/>
    <d v="1899-12-30T12:10:00"/>
    <n v="94"/>
    <x v="1"/>
    <x v="14"/>
    <x v="2"/>
    <n v="1"/>
    <n v="30"/>
    <n v="13.2"/>
    <n v="30"/>
    <x v="0"/>
    <n v="9"/>
    <x v="9"/>
    <n v="23"/>
    <x v="3"/>
    <x v="1"/>
    <n v="16.8"/>
    <n v="0.56000000000000005"/>
    <n v="0"/>
  </r>
  <r>
    <n v="99"/>
    <d v="2023-11-19T00:00:00"/>
    <d v="1899-12-30T15:12:00"/>
    <n v="71"/>
    <x v="1"/>
    <x v="20"/>
    <x v="2"/>
    <n v="4"/>
    <n v="300"/>
    <n v="132"/>
    <n v="1200"/>
    <x v="1"/>
    <n v="11"/>
    <x v="0"/>
    <n v="19"/>
    <x v="5"/>
    <x v="0"/>
    <n v="1068"/>
    <n v="0.89"/>
    <n v="1"/>
  </r>
  <r>
    <n v="783"/>
    <d v="2022-11-11T00:00:00"/>
    <d v="1899-12-30T15:37:00"/>
    <n v="91"/>
    <x v="1"/>
    <x v="34"/>
    <x v="0"/>
    <n v="1"/>
    <n v="300"/>
    <n v="150"/>
    <n v="300"/>
    <x v="0"/>
    <n v="11"/>
    <x v="0"/>
    <n v="11"/>
    <x v="3"/>
    <x v="0"/>
    <n v="150"/>
    <n v="0.5"/>
    <n v="1"/>
  </r>
  <r>
    <n v="1099"/>
    <d v="2022-12-24T00:00:00"/>
    <d v="1899-12-30T12:41:00"/>
    <n v="56"/>
    <x v="1"/>
    <x v="20"/>
    <x v="2"/>
    <n v="4"/>
    <n v="300"/>
    <n v="162"/>
    <n v="1200"/>
    <x v="0"/>
    <n v="12"/>
    <x v="2"/>
    <n v="24"/>
    <x v="0"/>
    <x v="0"/>
    <n v="1038"/>
    <n v="0.86499999999999999"/>
    <n v="1"/>
  </r>
  <r>
    <n v="1783"/>
    <d v="2023-09-05T00:00:00"/>
    <d v="1899-12-30T16:37:00"/>
    <n v="52"/>
    <x v="1"/>
    <x v="34"/>
    <x v="0"/>
    <n v="1"/>
    <n v="300"/>
    <n v="135"/>
    <n v="300"/>
    <x v="1"/>
    <n v="9"/>
    <x v="9"/>
    <n v="5"/>
    <x v="6"/>
    <x v="1"/>
    <n v="165"/>
    <n v="0.55000000000000004"/>
    <n v="1"/>
  </r>
  <r>
    <n v="409"/>
    <d v="2023-12-17T00:00:00"/>
    <d v="1899-12-30T12:30:00"/>
    <n v="55"/>
    <x v="1"/>
    <x v="40"/>
    <x v="2"/>
    <n v="3"/>
    <n v="300"/>
    <n v="87"/>
    <n v="900"/>
    <x v="1"/>
    <n v="12"/>
    <x v="2"/>
    <n v="17"/>
    <x v="5"/>
    <x v="0"/>
    <n v="813"/>
    <n v="0.90333333299999996"/>
    <n v="1"/>
  </r>
  <r>
    <n v="525"/>
    <d v="2022-09-05T00:00:00"/>
    <d v="1899-12-30T14:15:00"/>
    <n v="98"/>
    <x v="1"/>
    <x v="35"/>
    <x v="1"/>
    <n v="2"/>
    <n v="25"/>
    <n v="7"/>
    <n v="50"/>
    <x v="0"/>
    <n v="9"/>
    <x v="9"/>
    <n v="5"/>
    <x v="1"/>
    <x v="1"/>
    <n v="43"/>
    <n v="0.86"/>
    <n v="0"/>
  </r>
  <r>
    <n v="939"/>
    <d v="2022-11-07T00:00:00"/>
    <d v="1899-12-30T15:28:00"/>
    <n v="75"/>
    <x v="1"/>
    <x v="1"/>
    <x v="2"/>
    <n v="1"/>
    <n v="300"/>
    <n v="81"/>
    <n v="300"/>
    <x v="0"/>
    <n v="11"/>
    <x v="0"/>
    <n v="7"/>
    <x v="1"/>
    <x v="0"/>
    <n v="219"/>
    <n v="0.73"/>
    <n v="1"/>
  </r>
  <r>
    <n v="994"/>
    <d v="2022-12-24T00:00:00"/>
    <d v="1899-12-30T16:38:00"/>
    <n v="73"/>
    <x v="1"/>
    <x v="12"/>
    <x v="1"/>
    <n v="2"/>
    <n v="500"/>
    <n v="125"/>
    <n v="1000"/>
    <x v="0"/>
    <n v="12"/>
    <x v="2"/>
    <n v="24"/>
    <x v="0"/>
    <x v="0"/>
    <n v="875"/>
    <n v="0.875"/>
    <n v="1"/>
  </r>
  <r>
    <n v="1409"/>
    <d v="2023-11-22T00:00:00"/>
    <d v="1899-12-30T12:15:00"/>
    <n v="102"/>
    <x v="1"/>
    <x v="40"/>
    <x v="2"/>
    <n v="3"/>
    <n v="300"/>
    <n v="138"/>
    <n v="900"/>
    <x v="1"/>
    <n v="11"/>
    <x v="0"/>
    <n v="22"/>
    <x v="4"/>
    <x v="0"/>
    <n v="762"/>
    <n v="0.84666666700000004"/>
    <n v="1"/>
  </r>
  <r>
    <n v="1525"/>
    <d v="2022-12-13T00:00:00"/>
    <d v="1899-12-30T13:35:00"/>
    <n v="106"/>
    <x v="1"/>
    <x v="35"/>
    <x v="1"/>
    <n v="2"/>
    <n v="25"/>
    <n v="12"/>
    <n v="50"/>
    <x v="0"/>
    <n v="12"/>
    <x v="2"/>
    <n v="13"/>
    <x v="6"/>
    <x v="0"/>
    <n v="38"/>
    <n v="0.76"/>
    <n v="0"/>
  </r>
  <r>
    <n v="1939"/>
    <d v="2022-10-31T00:00:00"/>
    <d v="1899-12-30T13:30:00"/>
    <n v="74"/>
    <x v="1"/>
    <x v="1"/>
    <x v="2"/>
    <n v="1"/>
    <n v="300"/>
    <n v="135"/>
    <n v="300"/>
    <x v="0"/>
    <n v="10"/>
    <x v="5"/>
    <n v="31"/>
    <x v="1"/>
    <x v="0"/>
    <n v="165"/>
    <n v="0.55000000000000004"/>
    <n v="1"/>
  </r>
  <r>
    <n v="1994"/>
    <d v="2022-11-20T00:00:00"/>
    <d v="1899-12-30T13:27:00"/>
    <n v="86"/>
    <x v="1"/>
    <x v="12"/>
    <x v="1"/>
    <n v="2"/>
    <n v="500"/>
    <n v="250"/>
    <n v="1000"/>
    <x v="0"/>
    <n v="11"/>
    <x v="0"/>
    <n v="20"/>
    <x v="5"/>
    <x v="0"/>
    <n v="750"/>
    <n v="0.75"/>
    <n v="1"/>
  </r>
  <r>
    <n v="96"/>
    <d v="2023-11-22T00:00:00"/>
    <d v="1899-12-30T14:10:00"/>
    <n v="62"/>
    <x v="1"/>
    <x v="47"/>
    <x v="0"/>
    <n v="2"/>
    <n v="300"/>
    <n v="84"/>
    <n v="600"/>
    <x v="1"/>
    <n v="11"/>
    <x v="0"/>
    <n v="22"/>
    <x v="4"/>
    <x v="0"/>
    <n v="516"/>
    <n v="0.86"/>
    <n v="1"/>
  </r>
  <r>
    <n v="609"/>
    <d v="2023-11-19T00:00:00"/>
    <d v="1899-12-30T13:02:00"/>
    <n v="59"/>
    <x v="1"/>
    <x v="35"/>
    <x v="0"/>
    <n v="2"/>
    <n v="50"/>
    <n v="13"/>
    <n v="100"/>
    <x v="1"/>
    <n v="11"/>
    <x v="0"/>
    <n v="19"/>
    <x v="5"/>
    <x v="0"/>
    <n v="87"/>
    <n v="0.87"/>
    <n v="0"/>
  </r>
  <r>
    <n v="982"/>
    <d v="2022-11-10T00:00:00"/>
    <d v="1899-12-30T14:08:00"/>
    <n v="50"/>
    <x v="1"/>
    <x v="1"/>
    <x v="1"/>
    <n v="3"/>
    <n v="30"/>
    <n v="15.6"/>
    <n v="90"/>
    <x v="0"/>
    <n v="11"/>
    <x v="0"/>
    <n v="10"/>
    <x v="2"/>
    <x v="0"/>
    <n v="74.400000000000006"/>
    <n v="0.82666666700000002"/>
    <n v="0"/>
  </r>
  <r>
    <n v="1096"/>
    <d v="2022-12-01T00:00:00"/>
    <d v="1899-12-30T14:49:00"/>
    <n v="82"/>
    <x v="1"/>
    <x v="47"/>
    <x v="0"/>
    <n v="2"/>
    <n v="300"/>
    <n v="138"/>
    <n v="600"/>
    <x v="0"/>
    <n v="12"/>
    <x v="2"/>
    <n v="1"/>
    <x v="2"/>
    <x v="0"/>
    <n v="462"/>
    <n v="0.77"/>
    <n v="1"/>
  </r>
  <r>
    <n v="1609"/>
    <d v="2023-10-05T00:00:00"/>
    <d v="1899-12-30T13:58:00"/>
    <n v="81"/>
    <x v="1"/>
    <x v="35"/>
    <x v="0"/>
    <n v="2"/>
    <n v="50"/>
    <n v="22.5"/>
    <n v="100"/>
    <x v="1"/>
    <n v="10"/>
    <x v="5"/>
    <n v="5"/>
    <x v="2"/>
    <x v="0"/>
    <n v="77.5"/>
    <n v="0.77500000000000002"/>
    <n v="0"/>
  </r>
  <r>
    <n v="1982"/>
    <d v="2023-09-09T00:00:00"/>
    <d v="1899-12-30T12:46:00"/>
    <n v="110"/>
    <x v="1"/>
    <x v="1"/>
    <x v="1"/>
    <n v="3"/>
    <n v="30"/>
    <n v="16.5"/>
    <n v="90"/>
    <x v="1"/>
    <n v="9"/>
    <x v="9"/>
    <n v="9"/>
    <x v="0"/>
    <x v="1"/>
    <n v="73.5"/>
    <n v="0.81666666700000001"/>
    <n v="0"/>
  </r>
  <r>
    <n v="209"/>
    <d v="2022-09-03T00:00:00"/>
    <d v="1899-12-30T12:22:00"/>
    <n v="61"/>
    <x v="1"/>
    <x v="7"/>
    <x v="2"/>
    <n v="4"/>
    <n v="50"/>
    <n v="14"/>
    <n v="200"/>
    <x v="0"/>
    <n v="9"/>
    <x v="9"/>
    <n v="3"/>
    <x v="0"/>
    <x v="1"/>
    <n v="186"/>
    <n v="0.93"/>
    <n v="1"/>
  </r>
  <r>
    <n v="435"/>
    <d v="2023-12-15T00:00:00"/>
    <d v="1899-12-30T13:41:00"/>
    <n v="113"/>
    <x v="1"/>
    <x v="7"/>
    <x v="1"/>
    <n v="3"/>
    <n v="300"/>
    <n v="108"/>
    <n v="900"/>
    <x v="1"/>
    <n v="12"/>
    <x v="2"/>
    <n v="15"/>
    <x v="3"/>
    <x v="0"/>
    <n v="792"/>
    <n v="0.88"/>
    <n v="1"/>
  </r>
  <r>
    <n v="777"/>
    <d v="2022-09-10T00:00:00"/>
    <d v="1899-12-30T15:07:00"/>
    <n v="54"/>
    <x v="0"/>
    <x v="42"/>
    <x v="2"/>
    <n v="3"/>
    <n v="50"/>
    <n v="17"/>
    <n v="150"/>
    <x v="0"/>
    <n v="9"/>
    <x v="9"/>
    <n v="10"/>
    <x v="0"/>
    <x v="1"/>
    <n v="133"/>
    <n v="0.88666666699999996"/>
    <n v="1"/>
  </r>
  <r>
    <n v="854"/>
    <d v="2022-10-01T00:00:00"/>
    <d v="1899-12-30T15:42:00"/>
    <n v="84"/>
    <x v="0"/>
    <x v="33"/>
    <x v="0"/>
    <n v="1"/>
    <n v="50"/>
    <n v="22"/>
    <n v="50"/>
    <x v="0"/>
    <n v="10"/>
    <x v="5"/>
    <n v="1"/>
    <x v="0"/>
    <x v="0"/>
    <n v="28"/>
    <n v="0.56000000000000005"/>
    <n v="0"/>
  </r>
  <r>
    <n v="890"/>
    <d v="2023-12-25T00:00:00"/>
    <d v="1899-12-30T14:44:00"/>
    <n v="76"/>
    <x v="0"/>
    <x v="23"/>
    <x v="2"/>
    <n v="2"/>
    <n v="25"/>
    <n v="13.5"/>
    <n v="50"/>
    <x v="1"/>
    <n v="12"/>
    <x v="2"/>
    <n v="25"/>
    <x v="1"/>
    <x v="0"/>
    <n v="36.5"/>
    <n v="0.73"/>
    <n v="0"/>
  </r>
  <r>
    <n v="1209"/>
    <d v="2022-12-06T00:00:00"/>
    <d v="1899-12-30T12:37:00"/>
    <n v="55"/>
    <x v="1"/>
    <x v="7"/>
    <x v="2"/>
    <n v="4"/>
    <n v="50"/>
    <n v="23"/>
    <n v="200"/>
    <x v="0"/>
    <n v="12"/>
    <x v="2"/>
    <n v="6"/>
    <x v="6"/>
    <x v="0"/>
    <n v="177"/>
    <n v="0.88500000000000001"/>
    <n v="1"/>
  </r>
  <r>
    <n v="1435"/>
    <d v="2022-10-27T00:00:00"/>
    <d v="1899-12-30T13:31:00"/>
    <n v="61"/>
    <x v="1"/>
    <x v="7"/>
    <x v="1"/>
    <n v="3"/>
    <n v="300"/>
    <n v="114"/>
    <n v="900"/>
    <x v="0"/>
    <n v="10"/>
    <x v="5"/>
    <n v="27"/>
    <x v="2"/>
    <x v="0"/>
    <n v="786"/>
    <n v="0.87333333300000004"/>
    <n v="1"/>
  </r>
  <r>
    <n v="1777"/>
    <d v="2023-11-15T00:00:00"/>
    <d v="1899-12-30T12:06:00"/>
    <n v="74"/>
    <x v="0"/>
    <x v="42"/>
    <x v="2"/>
    <n v="3"/>
    <n v="50"/>
    <n v="19.5"/>
    <n v="150"/>
    <x v="1"/>
    <n v="11"/>
    <x v="0"/>
    <n v="15"/>
    <x v="4"/>
    <x v="0"/>
    <n v="130.5"/>
    <n v="0.87"/>
    <n v="1"/>
  </r>
  <r>
    <n v="1854"/>
    <d v="2023-11-25T00:00:00"/>
    <d v="1899-12-30T16:53:00"/>
    <n v="109"/>
    <x v="0"/>
    <x v="33"/>
    <x v="0"/>
    <n v="1"/>
    <n v="50"/>
    <n v="22.5"/>
    <n v="50"/>
    <x v="1"/>
    <n v="11"/>
    <x v="0"/>
    <n v="25"/>
    <x v="0"/>
    <x v="0"/>
    <n v="27.5"/>
    <n v="0.55000000000000004"/>
    <n v="0"/>
  </r>
  <r>
    <n v="1890"/>
    <d v="2023-10-18T00:00:00"/>
    <d v="1899-12-30T14:20:00"/>
    <n v="51"/>
    <x v="0"/>
    <x v="23"/>
    <x v="2"/>
    <n v="2"/>
    <n v="25"/>
    <n v="6.25"/>
    <n v="50"/>
    <x v="1"/>
    <n v="10"/>
    <x v="5"/>
    <n v="18"/>
    <x v="4"/>
    <x v="0"/>
    <n v="43.75"/>
    <n v="0.875"/>
    <n v="0"/>
  </r>
  <r>
    <n v="865"/>
    <d v="2023-12-17T00:00:00"/>
    <d v="1899-12-30T14:49:00"/>
    <n v="78"/>
    <x v="1"/>
    <x v="25"/>
    <x v="0"/>
    <n v="1"/>
    <n v="300"/>
    <n v="108"/>
    <n v="300"/>
    <x v="1"/>
    <n v="12"/>
    <x v="2"/>
    <n v="17"/>
    <x v="5"/>
    <x v="0"/>
    <n v="192"/>
    <n v="0.64"/>
    <n v="1"/>
  </r>
  <r>
    <n v="1865"/>
    <d v="2022-11-18T00:00:00"/>
    <d v="1899-12-30T14:52:00"/>
    <n v="107"/>
    <x v="1"/>
    <x v="25"/>
    <x v="0"/>
    <n v="1"/>
    <n v="300"/>
    <n v="156"/>
    <n v="300"/>
    <x v="0"/>
    <n v="11"/>
    <x v="0"/>
    <n v="18"/>
    <x v="3"/>
    <x v="0"/>
    <n v="144"/>
    <n v="0.48"/>
    <n v="1"/>
  </r>
  <r>
    <n v="662"/>
    <d v="2022-12-03T00:00:00"/>
    <d v="1899-12-30T12:40:00"/>
    <n v="100"/>
    <x v="0"/>
    <x v="42"/>
    <x v="1"/>
    <n v="2"/>
    <n v="500"/>
    <n v="145"/>
    <n v="1000"/>
    <x v="0"/>
    <n v="12"/>
    <x v="2"/>
    <n v="3"/>
    <x v="0"/>
    <x v="0"/>
    <n v="855"/>
    <n v="0.85499999999999998"/>
    <n v="1"/>
  </r>
  <r>
    <n v="1662"/>
    <d v="2023-12-20T00:00:00"/>
    <d v="1899-12-30T12:38:00"/>
    <n v="106"/>
    <x v="0"/>
    <x v="42"/>
    <x v="1"/>
    <n v="2"/>
    <n v="500"/>
    <n v="240"/>
    <n v="1000"/>
    <x v="1"/>
    <n v="12"/>
    <x v="2"/>
    <n v="20"/>
    <x v="4"/>
    <x v="0"/>
    <n v="760"/>
    <n v="0.76"/>
    <n v="1"/>
  </r>
  <r>
    <n v="309"/>
    <d v="2023-10-12T00:00:00"/>
    <d v="1899-12-30T15:39:00"/>
    <n v="78"/>
    <x v="1"/>
    <x v="6"/>
    <x v="1"/>
    <n v="1"/>
    <n v="25"/>
    <n v="9"/>
    <n v="25"/>
    <x v="1"/>
    <n v="10"/>
    <x v="5"/>
    <n v="12"/>
    <x v="2"/>
    <x v="0"/>
    <n v="16"/>
    <n v="0.64"/>
    <n v="0"/>
  </r>
  <r>
    <n v="544"/>
    <d v="2023-10-31T00:00:00"/>
    <d v="1899-12-30T13:46:00"/>
    <n v="95"/>
    <x v="1"/>
    <x v="17"/>
    <x v="2"/>
    <n v="1"/>
    <n v="25"/>
    <n v="10.25"/>
    <n v="25"/>
    <x v="1"/>
    <n v="10"/>
    <x v="5"/>
    <n v="31"/>
    <x v="6"/>
    <x v="0"/>
    <n v="14.75"/>
    <n v="0.59"/>
    <n v="0"/>
  </r>
  <r>
    <n v="602"/>
    <d v="2023-12-12T00:00:00"/>
    <d v="1899-12-30T16:46:00"/>
    <n v="75"/>
    <x v="1"/>
    <x v="36"/>
    <x v="2"/>
    <n v="1"/>
    <n v="300"/>
    <n v="96"/>
    <n v="300"/>
    <x v="1"/>
    <n v="12"/>
    <x v="2"/>
    <n v="12"/>
    <x v="6"/>
    <x v="0"/>
    <n v="204"/>
    <n v="0.68"/>
    <n v="1"/>
  </r>
  <r>
    <n v="615"/>
    <d v="2022-10-31T00:00:00"/>
    <d v="1899-12-30T15:06:00"/>
    <n v="58"/>
    <x v="1"/>
    <x v="45"/>
    <x v="0"/>
    <n v="4"/>
    <n v="25"/>
    <n v="10.5"/>
    <n v="100"/>
    <x v="0"/>
    <n v="10"/>
    <x v="5"/>
    <n v="31"/>
    <x v="1"/>
    <x v="0"/>
    <n v="89.5"/>
    <n v="0.89500000000000002"/>
    <n v="0"/>
  </r>
  <r>
    <n v="678"/>
    <d v="2022-11-17T00:00:00"/>
    <d v="1899-12-30T15:55:00"/>
    <n v="70"/>
    <x v="1"/>
    <x v="13"/>
    <x v="2"/>
    <n v="3"/>
    <n v="300"/>
    <n v="144"/>
    <n v="900"/>
    <x v="0"/>
    <n v="11"/>
    <x v="0"/>
    <n v="17"/>
    <x v="2"/>
    <x v="0"/>
    <n v="756"/>
    <n v="0.84"/>
    <n v="1"/>
  </r>
  <r>
    <n v="781"/>
    <d v="2022-10-19T00:00:00"/>
    <d v="1899-12-30T16:52:00"/>
    <n v="106"/>
    <x v="0"/>
    <x v="39"/>
    <x v="1"/>
    <n v="1"/>
    <n v="500"/>
    <n v="225"/>
    <n v="500"/>
    <x v="0"/>
    <n v="10"/>
    <x v="5"/>
    <n v="19"/>
    <x v="4"/>
    <x v="0"/>
    <n v="275"/>
    <n v="0.55000000000000004"/>
    <n v="1"/>
  </r>
  <r>
    <n v="1309"/>
    <d v="2022-09-30T00:00:00"/>
    <d v="1899-12-30T16:50:00"/>
    <n v="93"/>
    <x v="1"/>
    <x v="6"/>
    <x v="1"/>
    <n v="1"/>
    <n v="25"/>
    <n v="9.5"/>
    <n v="25"/>
    <x v="0"/>
    <n v="9"/>
    <x v="9"/>
    <n v="30"/>
    <x v="3"/>
    <x v="1"/>
    <n v="15.5"/>
    <n v="0.62"/>
    <n v="0"/>
  </r>
  <r>
    <n v="1544"/>
    <d v="2022-12-16T00:00:00"/>
    <d v="1899-12-30T15:58:00"/>
    <n v="70"/>
    <x v="1"/>
    <x v="17"/>
    <x v="2"/>
    <n v="1"/>
    <n v="25"/>
    <n v="11.25"/>
    <n v="25"/>
    <x v="0"/>
    <n v="12"/>
    <x v="2"/>
    <n v="16"/>
    <x v="3"/>
    <x v="0"/>
    <n v="13.75"/>
    <n v="0.55000000000000004"/>
    <n v="0"/>
  </r>
  <r>
    <n v="1602"/>
    <d v="2022-12-01T00:00:00"/>
    <d v="1899-12-30T15:17:00"/>
    <n v="86"/>
    <x v="1"/>
    <x v="36"/>
    <x v="2"/>
    <n v="1"/>
    <n v="300"/>
    <n v="126"/>
    <n v="300"/>
    <x v="0"/>
    <n v="12"/>
    <x v="2"/>
    <n v="1"/>
    <x v="2"/>
    <x v="0"/>
    <n v="174"/>
    <n v="0.57999999999999996"/>
    <n v="1"/>
  </r>
  <r>
    <n v="1615"/>
    <d v="2022-11-17T00:00:00"/>
    <d v="1899-12-30T13:43:00"/>
    <n v="82"/>
    <x v="1"/>
    <x v="45"/>
    <x v="0"/>
    <n v="4"/>
    <n v="25"/>
    <n v="13.5"/>
    <n v="100"/>
    <x v="0"/>
    <n v="11"/>
    <x v="0"/>
    <n v="17"/>
    <x v="2"/>
    <x v="0"/>
    <n v="86.5"/>
    <n v="0.86499999999999999"/>
    <n v="0"/>
  </r>
  <r>
    <n v="1678"/>
    <d v="2022-09-16T00:00:00"/>
    <d v="1899-12-30T13:44:00"/>
    <n v="99"/>
    <x v="1"/>
    <x v="13"/>
    <x v="2"/>
    <n v="3"/>
    <n v="300"/>
    <n v="102"/>
    <n v="900"/>
    <x v="0"/>
    <n v="9"/>
    <x v="9"/>
    <n v="16"/>
    <x v="3"/>
    <x v="1"/>
    <n v="798"/>
    <n v="0.88666666699999996"/>
    <n v="1"/>
  </r>
  <r>
    <n v="1781"/>
    <d v="2022-10-13T00:00:00"/>
    <d v="1899-12-30T12:22:00"/>
    <n v="55"/>
    <x v="0"/>
    <x v="39"/>
    <x v="1"/>
    <n v="1"/>
    <n v="500"/>
    <n v="225"/>
    <n v="500"/>
    <x v="0"/>
    <n v="10"/>
    <x v="5"/>
    <n v="13"/>
    <x v="2"/>
    <x v="0"/>
    <n v="275"/>
    <n v="0.55000000000000004"/>
    <n v="1"/>
  </r>
  <r>
    <n v="34"/>
    <d v="2023-09-24T00:00:00"/>
    <d v="1899-12-30T13:26:00"/>
    <n v="87"/>
    <x v="1"/>
    <x v="12"/>
    <x v="0"/>
    <n v="3"/>
    <n v="50"/>
    <n v="17"/>
    <n v="150"/>
    <x v="1"/>
    <n v="9"/>
    <x v="9"/>
    <n v="24"/>
    <x v="5"/>
    <x v="1"/>
    <n v="133"/>
    <n v="0.88666666699999996"/>
    <n v="1"/>
  </r>
  <r>
    <n v="916"/>
    <d v="2023-12-05T00:00:00"/>
    <d v="1899-12-30T12:56:00"/>
    <n v="68"/>
    <x v="1"/>
    <x v="37"/>
    <x v="2"/>
    <n v="1"/>
    <n v="50"/>
    <n v="26"/>
    <n v="50"/>
    <x v="1"/>
    <n v="12"/>
    <x v="2"/>
    <n v="5"/>
    <x v="6"/>
    <x v="0"/>
    <n v="24"/>
    <n v="0.48"/>
    <n v="0"/>
  </r>
  <r>
    <n v="1034"/>
    <d v="2022-11-13T00:00:00"/>
    <d v="1899-12-30T14:48:00"/>
    <n v="52"/>
    <x v="1"/>
    <x v="12"/>
    <x v="0"/>
    <n v="3"/>
    <n v="50"/>
    <n v="24.5"/>
    <n v="150"/>
    <x v="0"/>
    <n v="11"/>
    <x v="0"/>
    <n v="13"/>
    <x v="5"/>
    <x v="0"/>
    <n v="125.5"/>
    <n v="0.83666666700000003"/>
    <n v="1"/>
  </r>
  <r>
    <n v="1916"/>
    <d v="2022-11-08T00:00:00"/>
    <d v="1899-12-30T12:40:00"/>
    <n v="102"/>
    <x v="1"/>
    <x v="37"/>
    <x v="2"/>
    <n v="1"/>
    <n v="50"/>
    <n v="16.5"/>
    <n v="50"/>
    <x v="0"/>
    <n v="11"/>
    <x v="0"/>
    <n v="8"/>
    <x v="6"/>
    <x v="0"/>
    <n v="33.5"/>
    <n v="0.67"/>
    <n v="0"/>
  </r>
  <r>
    <n v="757"/>
    <d v="2023-10-06T00:00:00"/>
    <d v="1899-12-30T12:10:00"/>
    <n v="82"/>
    <x v="1"/>
    <x v="22"/>
    <x v="2"/>
    <n v="4"/>
    <n v="300"/>
    <n v="105"/>
    <n v="1200"/>
    <x v="1"/>
    <n v="10"/>
    <x v="5"/>
    <n v="6"/>
    <x v="3"/>
    <x v="0"/>
    <n v="1095"/>
    <n v="0.91249999999999998"/>
    <n v="1"/>
  </r>
  <r>
    <n v="1757"/>
    <d v="2023-09-29T00:00:00"/>
    <d v="1899-12-30T16:42:00"/>
    <n v="50"/>
    <x v="1"/>
    <x v="22"/>
    <x v="2"/>
    <n v="4"/>
    <n v="300"/>
    <n v="132"/>
    <n v="1200"/>
    <x v="1"/>
    <n v="9"/>
    <x v="9"/>
    <n v="29"/>
    <x v="3"/>
    <x v="1"/>
    <n v="1068"/>
    <n v="0.89"/>
    <n v="1"/>
  </r>
  <r>
    <n v="25"/>
    <d v="2022-11-20T00:00:00"/>
    <d v="1899-12-30T14:32:00"/>
    <n v="61"/>
    <x v="1"/>
    <x v="3"/>
    <x v="1"/>
    <n v="1"/>
    <n v="50"/>
    <n v="19"/>
    <n v="50"/>
    <x v="0"/>
    <n v="11"/>
    <x v="0"/>
    <n v="20"/>
    <x v="5"/>
    <x v="0"/>
    <n v="31"/>
    <n v="0.62"/>
    <n v="0"/>
  </r>
  <r>
    <n v="82"/>
    <d v="2022-09-08T00:00:00"/>
    <d v="1899-12-30T12:55:00"/>
    <n v="85"/>
    <x v="1"/>
    <x v="37"/>
    <x v="1"/>
    <n v="4"/>
    <n v="50"/>
    <n v="15"/>
    <n v="200"/>
    <x v="0"/>
    <n v="9"/>
    <x v="9"/>
    <n v="8"/>
    <x v="2"/>
    <x v="1"/>
    <n v="185"/>
    <n v="0.92500000000000004"/>
    <n v="1"/>
  </r>
  <r>
    <n v="472"/>
    <d v="2023-10-30T00:00:00"/>
    <d v="1899-12-30T15:23:00"/>
    <n v="95"/>
    <x v="1"/>
    <x v="9"/>
    <x v="1"/>
    <n v="3"/>
    <n v="300"/>
    <n v="162"/>
    <n v="900"/>
    <x v="1"/>
    <n v="10"/>
    <x v="5"/>
    <n v="30"/>
    <x v="1"/>
    <x v="0"/>
    <n v="738"/>
    <n v="0.82"/>
    <n v="1"/>
  </r>
  <r>
    <n v="842"/>
    <d v="2022-11-28T00:00:00"/>
    <d v="1899-12-30T14:13:00"/>
    <n v="71"/>
    <x v="1"/>
    <x v="35"/>
    <x v="0"/>
    <n v="2"/>
    <n v="300"/>
    <n v="105"/>
    <n v="600"/>
    <x v="0"/>
    <n v="11"/>
    <x v="0"/>
    <n v="28"/>
    <x v="1"/>
    <x v="0"/>
    <n v="495"/>
    <n v="0.82499999999999996"/>
    <n v="1"/>
  </r>
  <r>
    <n v="879"/>
    <d v="2022-11-13T00:00:00"/>
    <d v="1899-12-30T16:51:00"/>
    <n v="50"/>
    <x v="0"/>
    <x v="8"/>
    <x v="0"/>
    <n v="1"/>
    <n v="30"/>
    <n v="15.3"/>
    <n v="30"/>
    <x v="0"/>
    <n v="11"/>
    <x v="0"/>
    <n v="13"/>
    <x v="5"/>
    <x v="0"/>
    <n v="14.7"/>
    <n v="0.49"/>
    <n v="0"/>
  </r>
  <r>
    <n v="991"/>
    <d v="2023-09-14T00:00:00"/>
    <d v="1899-12-30T14:28:00"/>
    <n v="110"/>
    <x v="1"/>
    <x v="23"/>
    <x v="0"/>
    <n v="2"/>
    <n v="50"/>
    <n v="19.5"/>
    <n v="100"/>
    <x v="1"/>
    <n v="9"/>
    <x v="9"/>
    <n v="14"/>
    <x v="2"/>
    <x v="1"/>
    <n v="80.5"/>
    <n v="0.80500000000000005"/>
    <n v="0"/>
  </r>
  <r>
    <n v="1025"/>
    <d v="2022-11-12T00:00:00"/>
    <d v="1899-12-30T16:41:00"/>
    <n v="103"/>
    <x v="1"/>
    <x v="3"/>
    <x v="1"/>
    <n v="1"/>
    <n v="50"/>
    <n v="16.5"/>
    <n v="50"/>
    <x v="0"/>
    <n v="11"/>
    <x v="0"/>
    <n v="12"/>
    <x v="0"/>
    <x v="0"/>
    <n v="33.5"/>
    <n v="0.67"/>
    <n v="0"/>
  </r>
  <r>
    <n v="1082"/>
    <d v="2022-10-22T00:00:00"/>
    <d v="1899-12-30T15:56:00"/>
    <n v="111"/>
    <x v="1"/>
    <x v="37"/>
    <x v="1"/>
    <n v="4"/>
    <n v="50"/>
    <n v="27.5"/>
    <n v="200"/>
    <x v="0"/>
    <n v="10"/>
    <x v="5"/>
    <n v="22"/>
    <x v="0"/>
    <x v="0"/>
    <n v="172.5"/>
    <n v="0.86250000000000004"/>
    <n v="1"/>
  </r>
  <r>
    <n v="1472"/>
    <d v="2023-12-18T00:00:00"/>
    <d v="1899-12-30T15:22:00"/>
    <n v="74"/>
    <x v="1"/>
    <x v="9"/>
    <x v="1"/>
    <n v="3"/>
    <n v="300"/>
    <n v="150"/>
    <n v="900"/>
    <x v="1"/>
    <n v="12"/>
    <x v="2"/>
    <n v="18"/>
    <x v="1"/>
    <x v="0"/>
    <n v="750"/>
    <n v="0.83333333300000001"/>
    <n v="1"/>
  </r>
  <r>
    <n v="1842"/>
    <d v="2022-10-04T00:00:00"/>
    <d v="1899-12-30T14:03:00"/>
    <n v="84"/>
    <x v="1"/>
    <x v="35"/>
    <x v="0"/>
    <n v="2"/>
    <n v="300"/>
    <n v="75"/>
    <n v="600"/>
    <x v="0"/>
    <n v="10"/>
    <x v="5"/>
    <n v="4"/>
    <x v="6"/>
    <x v="0"/>
    <n v="525"/>
    <n v="0.875"/>
    <n v="1"/>
  </r>
  <r>
    <n v="1879"/>
    <d v="2022-11-18T00:00:00"/>
    <d v="1899-12-30T15:27:00"/>
    <n v="66"/>
    <x v="0"/>
    <x v="8"/>
    <x v="0"/>
    <n v="1"/>
    <n v="30"/>
    <n v="16.2"/>
    <n v="30"/>
    <x v="0"/>
    <n v="11"/>
    <x v="0"/>
    <n v="18"/>
    <x v="3"/>
    <x v="0"/>
    <n v="13.8"/>
    <n v="0.46"/>
    <n v="0"/>
  </r>
  <r>
    <n v="1991"/>
    <d v="2022-12-04T00:00:00"/>
    <d v="1899-12-30T13:11:00"/>
    <n v="96"/>
    <x v="1"/>
    <x v="23"/>
    <x v="0"/>
    <n v="2"/>
    <n v="50"/>
    <n v="14.5"/>
    <n v="100"/>
    <x v="0"/>
    <n v="12"/>
    <x v="2"/>
    <n v="4"/>
    <x v="5"/>
    <x v="0"/>
    <n v="85.5"/>
    <n v="0.85499999999999998"/>
    <n v="0"/>
  </r>
  <r>
    <n v="62"/>
    <d v="2023-09-16T00:00:00"/>
    <d v="1899-12-30T12:54:00"/>
    <n v="50"/>
    <x v="0"/>
    <x v="18"/>
    <x v="1"/>
    <n v="2"/>
    <n v="50"/>
    <n v="26.5"/>
    <n v="100"/>
    <x v="1"/>
    <n v="9"/>
    <x v="9"/>
    <n v="16"/>
    <x v="0"/>
    <x v="1"/>
    <n v="73.5"/>
    <n v="0.73499999999999999"/>
    <n v="0"/>
  </r>
  <r>
    <n v="386"/>
    <d v="2022-10-23T00:00:00"/>
    <d v="1899-12-30T13:20:00"/>
    <n v="77"/>
    <x v="1"/>
    <x v="29"/>
    <x v="2"/>
    <n v="2"/>
    <n v="300"/>
    <n v="153"/>
    <n v="600"/>
    <x v="0"/>
    <n v="10"/>
    <x v="5"/>
    <n v="23"/>
    <x v="5"/>
    <x v="0"/>
    <n v="447"/>
    <n v="0.745"/>
    <n v="1"/>
  </r>
  <r>
    <n v="1062"/>
    <d v="2022-12-20T00:00:00"/>
    <d v="1899-12-30T16:05:00"/>
    <n v="69"/>
    <x v="0"/>
    <x v="18"/>
    <x v="1"/>
    <n v="2"/>
    <n v="50"/>
    <n v="21.5"/>
    <n v="100"/>
    <x v="0"/>
    <n v="12"/>
    <x v="2"/>
    <n v="20"/>
    <x v="6"/>
    <x v="0"/>
    <n v="78.5"/>
    <n v="0.78500000000000003"/>
    <n v="0"/>
  </r>
  <r>
    <n v="1386"/>
    <d v="2023-12-19T00:00:00"/>
    <d v="1899-12-30T14:06:00"/>
    <n v="110"/>
    <x v="1"/>
    <x v="29"/>
    <x v="2"/>
    <n v="2"/>
    <n v="300"/>
    <n v="81"/>
    <n v="600"/>
    <x v="1"/>
    <n v="12"/>
    <x v="2"/>
    <n v="19"/>
    <x v="6"/>
    <x v="0"/>
    <n v="519"/>
    <n v="0.86499999999999999"/>
    <n v="1"/>
  </r>
  <r>
    <n v="429"/>
    <d v="2023-09-08T00:00:00"/>
    <d v="1899-12-30T14:29:00"/>
    <n v="80"/>
    <x v="0"/>
    <x v="3"/>
    <x v="2"/>
    <n v="2"/>
    <n v="25"/>
    <n v="6.75"/>
    <n v="50"/>
    <x v="1"/>
    <n v="9"/>
    <x v="9"/>
    <n v="8"/>
    <x v="3"/>
    <x v="1"/>
    <n v="43.25"/>
    <n v="0.86499999999999999"/>
    <n v="0"/>
  </r>
  <r>
    <n v="664"/>
    <d v="2022-09-03T00:00:00"/>
    <d v="1899-12-30T16:52:00"/>
    <n v="109"/>
    <x v="1"/>
    <x v="47"/>
    <x v="0"/>
    <n v="4"/>
    <n v="500"/>
    <n v="170"/>
    <n v="2000"/>
    <x v="0"/>
    <n v="9"/>
    <x v="9"/>
    <n v="3"/>
    <x v="0"/>
    <x v="1"/>
    <n v="1830"/>
    <n v="0.91500000000000004"/>
    <n v="1"/>
  </r>
  <r>
    <n v="989"/>
    <d v="2022-10-31T00:00:00"/>
    <d v="1899-12-30T13:30:00"/>
    <n v="97"/>
    <x v="1"/>
    <x v="47"/>
    <x v="2"/>
    <n v="1"/>
    <n v="25"/>
    <n v="8.25"/>
    <n v="25"/>
    <x v="0"/>
    <n v="10"/>
    <x v="5"/>
    <n v="31"/>
    <x v="1"/>
    <x v="0"/>
    <n v="16.75"/>
    <n v="0.67"/>
    <n v="0"/>
  </r>
  <r>
    <n v="1429"/>
    <d v="2023-11-22T00:00:00"/>
    <d v="1899-12-30T13:14:00"/>
    <n v="102"/>
    <x v="0"/>
    <x v="3"/>
    <x v="2"/>
    <n v="2"/>
    <n v="25"/>
    <n v="12"/>
    <n v="50"/>
    <x v="1"/>
    <n v="11"/>
    <x v="0"/>
    <n v="22"/>
    <x v="4"/>
    <x v="0"/>
    <n v="38"/>
    <n v="0.76"/>
    <n v="0"/>
  </r>
  <r>
    <n v="1664"/>
    <d v="2023-12-12T00:00:00"/>
    <d v="1899-12-30T16:44:00"/>
    <n v="99"/>
    <x v="1"/>
    <x v="47"/>
    <x v="0"/>
    <n v="4"/>
    <n v="500"/>
    <n v="245"/>
    <n v="2000"/>
    <x v="1"/>
    <n v="12"/>
    <x v="2"/>
    <n v="12"/>
    <x v="6"/>
    <x v="0"/>
    <n v="1755"/>
    <n v="0.87749999999999995"/>
    <n v="1"/>
  </r>
  <r>
    <n v="1989"/>
    <d v="2022-09-06T00:00:00"/>
    <d v="1899-12-30T16:21:00"/>
    <n v="109"/>
    <x v="1"/>
    <x v="47"/>
    <x v="2"/>
    <n v="1"/>
    <n v="25"/>
    <n v="13.25"/>
    <n v="25"/>
    <x v="0"/>
    <n v="9"/>
    <x v="9"/>
    <n v="6"/>
    <x v="6"/>
    <x v="1"/>
    <n v="11.75"/>
    <n v="0.47"/>
    <n v="0"/>
  </r>
  <r>
    <n v="233"/>
    <d v="2022-09-03T00:00:00"/>
    <d v="1899-12-30T13:09:00"/>
    <n v="81"/>
    <x v="1"/>
    <x v="12"/>
    <x v="1"/>
    <n v="2"/>
    <n v="300"/>
    <n v="132"/>
    <n v="600"/>
    <x v="0"/>
    <n v="9"/>
    <x v="9"/>
    <n v="3"/>
    <x v="0"/>
    <x v="1"/>
    <n v="468"/>
    <n v="0.78"/>
    <n v="1"/>
  </r>
  <r>
    <n v="520"/>
    <d v="2022-10-16T00:00:00"/>
    <d v="1899-12-30T12:42:00"/>
    <n v="79"/>
    <x v="1"/>
    <x v="28"/>
    <x v="2"/>
    <n v="4"/>
    <n v="25"/>
    <n v="13"/>
    <n v="100"/>
    <x v="0"/>
    <n v="10"/>
    <x v="5"/>
    <n v="16"/>
    <x v="5"/>
    <x v="0"/>
    <n v="87"/>
    <n v="0.87"/>
    <n v="0"/>
  </r>
  <r>
    <n v="805"/>
    <d v="2022-09-03T00:00:00"/>
    <d v="1899-12-30T13:55:00"/>
    <n v="59"/>
    <x v="1"/>
    <x v="7"/>
    <x v="1"/>
    <n v="3"/>
    <n v="500"/>
    <n v="155"/>
    <n v="1500"/>
    <x v="0"/>
    <n v="9"/>
    <x v="9"/>
    <n v="3"/>
    <x v="0"/>
    <x v="1"/>
    <n v="1345"/>
    <n v="0.89666666699999997"/>
    <n v="1"/>
  </r>
  <r>
    <n v="908"/>
    <d v="2022-10-30T00:00:00"/>
    <d v="1899-12-30T14:47:00"/>
    <n v="64"/>
    <x v="0"/>
    <x v="1"/>
    <x v="1"/>
    <n v="4"/>
    <n v="300"/>
    <n v="81"/>
    <n v="1200"/>
    <x v="0"/>
    <n v="10"/>
    <x v="5"/>
    <n v="30"/>
    <x v="5"/>
    <x v="0"/>
    <n v="1119"/>
    <n v="0.9325"/>
    <n v="1"/>
  </r>
  <r>
    <n v="1233"/>
    <d v="2023-10-01T00:00:00"/>
    <d v="1899-12-30T16:20:00"/>
    <n v="79"/>
    <x v="1"/>
    <x v="12"/>
    <x v="1"/>
    <n v="2"/>
    <n v="300"/>
    <n v="117"/>
    <n v="600"/>
    <x v="1"/>
    <n v="10"/>
    <x v="5"/>
    <n v="1"/>
    <x v="5"/>
    <x v="0"/>
    <n v="483"/>
    <n v="0.80500000000000005"/>
    <n v="1"/>
  </r>
  <r>
    <n v="1520"/>
    <d v="2022-11-21T00:00:00"/>
    <d v="1899-12-30T15:28:00"/>
    <n v="88"/>
    <x v="1"/>
    <x v="28"/>
    <x v="2"/>
    <n v="4"/>
    <n v="25"/>
    <n v="10.5"/>
    <n v="100"/>
    <x v="0"/>
    <n v="11"/>
    <x v="0"/>
    <n v="21"/>
    <x v="1"/>
    <x v="0"/>
    <n v="89.5"/>
    <n v="0.89500000000000002"/>
    <n v="0"/>
  </r>
  <r>
    <n v="1805"/>
    <d v="2023-10-10T00:00:00"/>
    <d v="1899-12-30T13:35:00"/>
    <n v="79"/>
    <x v="1"/>
    <x v="7"/>
    <x v="1"/>
    <n v="3"/>
    <n v="500"/>
    <n v="225"/>
    <n v="1500"/>
    <x v="1"/>
    <n v="10"/>
    <x v="5"/>
    <n v="10"/>
    <x v="6"/>
    <x v="0"/>
    <n v="1275"/>
    <n v="0.85"/>
    <n v="1"/>
  </r>
  <r>
    <n v="1908"/>
    <d v="2023-12-17T00:00:00"/>
    <d v="1899-12-30T12:34:00"/>
    <n v="93"/>
    <x v="0"/>
    <x v="1"/>
    <x v="1"/>
    <n v="4"/>
    <n v="300"/>
    <n v="87"/>
    <n v="1200"/>
    <x v="1"/>
    <n v="12"/>
    <x v="2"/>
    <n v="17"/>
    <x v="5"/>
    <x v="0"/>
    <n v="1113"/>
    <n v="0.92749999999999999"/>
    <n v="1"/>
  </r>
  <r>
    <n v="857"/>
    <d v="2023-11-20T00:00:00"/>
    <d v="1899-12-30T12:09:00"/>
    <n v="62"/>
    <x v="0"/>
    <x v="13"/>
    <x v="2"/>
    <n v="2"/>
    <n v="25"/>
    <n v="12"/>
    <n v="50"/>
    <x v="1"/>
    <n v="11"/>
    <x v="0"/>
    <n v="20"/>
    <x v="1"/>
    <x v="0"/>
    <n v="38"/>
    <n v="0.76"/>
    <n v="0"/>
  </r>
  <r>
    <n v="1857"/>
    <d v="2022-11-09T00:00:00"/>
    <d v="1899-12-30T12:15:00"/>
    <n v="109"/>
    <x v="0"/>
    <x v="13"/>
    <x v="2"/>
    <n v="2"/>
    <n v="25"/>
    <n v="7.5"/>
    <n v="50"/>
    <x v="0"/>
    <n v="11"/>
    <x v="0"/>
    <n v="9"/>
    <x v="4"/>
    <x v="0"/>
    <n v="42.5"/>
    <n v="0.85"/>
    <n v="0"/>
  </r>
  <r>
    <n v="211"/>
    <d v="2022-09-12T00:00:00"/>
    <d v="1899-12-30T14:02:00"/>
    <n v="54"/>
    <x v="0"/>
    <x v="25"/>
    <x v="1"/>
    <n v="3"/>
    <n v="500"/>
    <n v="235"/>
    <n v="1500"/>
    <x v="0"/>
    <n v="9"/>
    <x v="9"/>
    <n v="12"/>
    <x v="1"/>
    <x v="1"/>
    <n v="1265"/>
    <n v="0.84333333300000002"/>
    <n v="1"/>
  </r>
  <r>
    <n v="650"/>
    <d v="2023-10-08T00:00:00"/>
    <d v="1899-12-30T12:41:00"/>
    <n v="98"/>
    <x v="0"/>
    <x v="46"/>
    <x v="2"/>
    <n v="1"/>
    <n v="30"/>
    <n v="15"/>
    <n v="30"/>
    <x v="1"/>
    <n v="10"/>
    <x v="5"/>
    <n v="8"/>
    <x v="5"/>
    <x v="0"/>
    <n v="15"/>
    <n v="0.5"/>
    <n v="0"/>
  </r>
  <r>
    <n v="1211"/>
    <d v="2023-11-22T00:00:00"/>
    <d v="1899-12-30T14:59:00"/>
    <n v="82"/>
    <x v="0"/>
    <x v="25"/>
    <x v="1"/>
    <n v="3"/>
    <n v="500"/>
    <n v="235"/>
    <n v="1500"/>
    <x v="1"/>
    <n v="11"/>
    <x v="0"/>
    <n v="22"/>
    <x v="4"/>
    <x v="0"/>
    <n v="1265"/>
    <n v="0.84333333300000002"/>
    <n v="1"/>
  </r>
  <r>
    <n v="1650"/>
    <d v="2022-09-23T00:00:00"/>
    <d v="1899-12-30T16:24:00"/>
    <n v="89"/>
    <x v="0"/>
    <x v="46"/>
    <x v="2"/>
    <n v="1"/>
    <n v="30"/>
    <n v="10.8"/>
    <n v="30"/>
    <x v="0"/>
    <n v="9"/>
    <x v="9"/>
    <n v="23"/>
    <x v="3"/>
    <x v="1"/>
    <n v="19.2"/>
    <n v="0.64"/>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n v="180"/>
    <d v="2022-11-05T00:00:00"/>
    <d v="1899-12-30T10:47:00"/>
    <n v="117"/>
    <x v="0"/>
    <x v="0"/>
    <x v="0"/>
    <n v="3"/>
    <n v="300"/>
    <n v="129"/>
    <n v="900"/>
    <x v="0"/>
    <n v="11"/>
    <x v="0"/>
    <n v="5"/>
    <x v="0"/>
    <n v="4"/>
    <n v="771"/>
    <n v="0.85666666700000005"/>
    <n v="1"/>
    <x v="0"/>
  </r>
  <r>
    <n v="522"/>
    <d v="2022-07-09T00:00:00"/>
    <d v="1899-12-30T11:00:00"/>
    <n v="52"/>
    <x v="0"/>
    <x v="1"/>
    <x v="1"/>
    <n v="3"/>
    <n v="500"/>
    <n v="145"/>
    <n v="1500"/>
    <x v="0"/>
    <n v="7"/>
    <x v="1"/>
    <n v="9"/>
    <x v="0"/>
    <n v="3"/>
    <n v="1355"/>
    <n v="0.90333333299999996"/>
    <n v="1"/>
    <x v="1"/>
  </r>
  <r>
    <n v="559"/>
    <d v="2022-12-12T00:00:00"/>
    <d v="1899-12-30T10:48:00"/>
    <n v="5"/>
    <x v="1"/>
    <x v="2"/>
    <x v="0"/>
    <n v="4"/>
    <n v="300"/>
    <n v="84"/>
    <n v="1200"/>
    <x v="0"/>
    <n v="12"/>
    <x v="2"/>
    <n v="12"/>
    <x v="1"/>
    <n v="4"/>
    <n v="1116"/>
    <n v="0.93"/>
    <n v="1"/>
    <x v="0"/>
  </r>
  <r>
    <n v="1180"/>
    <d v="2022-01-06T00:00:00"/>
    <d v="1899-12-30T08:53:00"/>
    <n v="85"/>
    <x v="0"/>
    <x v="0"/>
    <x v="0"/>
    <n v="3"/>
    <n v="300"/>
    <n v="129"/>
    <n v="900"/>
    <x v="0"/>
    <n v="1"/>
    <x v="3"/>
    <n v="6"/>
    <x v="2"/>
    <n v="1"/>
    <n v="771"/>
    <n v="0.85666666700000005"/>
    <n v="1"/>
    <x v="2"/>
  </r>
  <r>
    <n v="1522"/>
    <d v="2022-11-14T00:00:00"/>
    <d v="1899-12-30T08:35:00"/>
    <n v="48"/>
    <x v="0"/>
    <x v="1"/>
    <x v="1"/>
    <n v="3"/>
    <n v="500"/>
    <n v="235"/>
    <n v="1500"/>
    <x v="0"/>
    <n v="11"/>
    <x v="0"/>
    <n v="14"/>
    <x v="1"/>
    <n v="4"/>
    <n v="1265"/>
    <n v="0.84333333300000002"/>
    <n v="1"/>
    <x v="0"/>
  </r>
  <r>
    <n v="1559"/>
    <d v="2022-08-20T00:00:00"/>
    <d v="1899-12-30T07:40:00"/>
    <n v="49"/>
    <x v="1"/>
    <x v="2"/>
    <x v="0"/>
    <n v="4"/>
    <n v="300"/>
    <n v="144"/>
    <n v="1200"/>
    <x v="0"/>
    <n v="8"/>
    <x v="4"/>
    <n v="20"/>
    <x v="0"/>
    <n v="3"/>
    <n v="1056"/>
    <n v="0.88"/>
    <n v="1"/>
    <x v="1"/>
  </r>
  <r>
    <n v="163"/>
    <d v="2022-10-31T00:00:00"/>
    <d v="1899-12-30T09:38:00"/>
    <n v="144"/>
    <x v="1"/>
    <x v="3"/>
    <x v="0"/>
    <n v="3"/>
    <n v="50"/>
    <n v="23"/>
    <n v="150"/>
    <x v="0"/>
    <n v="10"/>
    <x v="5"/>
    <n v="31"/>
    <x v="1"/>
    <n v="4"/>
    <n v="127"/>
    <n v="0.84666666700000004"/>
    <n v="1"/>
    <x v="0"/>
  </r>
  <r>
    <n v="303"/>
    <d v="2022-04-22T00:00:00"/>
    <d v="1899-12-30T11:09:00"/>
    <n v="54"/>
    <x v="0"/>
    <x v="4"/>
    <x v="2"/>
    <n v="3"/>
    <n v="30"/>
    <n v="14.7"/>
    <n v="90"/>
    <x v="0"/>
    <n v="4"/>
    <x v="6"/>
    <n v="22"/>
    <x v="3"/>
    <n v="2"/>
    <n v="75.3"/>
    <n v="0.83666666700000003"/>
    <n v="0"/>
    <x v="3"/>
  </r>
  <r>
    <n v="421"/>
    <d v="2022-04-08T00:00:00"/>
    <d v="1899-12-30T08:43:00"/>
    <n v="66"/>
    <x v="1"/>
    <x v="5"/>
    <x v="0"/>
    <n v="3"/>
    <n v="500"/>
    <n v="235"/>
    <n v="1500"/>
    <x v="0"/>
    <n v="4"/>
    <x v="6"/>
    <n v="8"/>
    <x v="3"/>
    <n v="2"/>
    <n v="1265"/>
    <n v="0.84333333300000002"/>
    <n v="1"/>
    <x v="3"/>
  </r>
  <r>
    <n v="979"/>
    <d v="2022-05-18T00:00:00"/>
    <d v="1899-12-30T10:18:00"/>
    <n v="6"/>
    <x v="1"/>
    <x v="4"/>
    <x v="1"/>
    <n v="1"/>
    <n v="25"/>
    <n v="10.5"/>
    <n v="25"/>
    <x v="0"/>
    <n v="5"/>
    <x v="7"/>
    <n v="18"/>
    <x v="4"/>
    <n v="2"/>
    <n v="14.5"/>
    <n v="0.57999999999999996"/>
    <n v="0"/>
    <x v="3"/>
  </r>
  <r>
    <n v="1163"/>
    <d v="2022-05-04T00:00:00"/>
    <d v="1899-12-30T10:52:00"/>
    <n v="120"/>
    <x v="1"/>
    <x v="3"/>
    <x v="0"/>
    <n v="3"/>
    <n v="50"/>
    <n v="27"/>
    <n v="150"/>
    <x v="0"/>
    <n v="5"/>
    <x v="7"/>
    <n v="4"/>
    <x v="4"/>
    <n v="2"/>
    <n v="123"/>
    <n v="0.82"/>
    <n v="1"/>
    <x v="3"/>
  </r>
  <r>
    <n v="1303"/>
    <d v="2022-03-19T00:00:00"/>
    <d v="1899-12-30T08:59:00"/>
    <n v="58"/>
    <x v="0"/>
    <x v="4"/>
    <x v="2"/>
    <n v="3"/>
    <n v="30"/>
    <n v="15"/>
    <n v="90"/>
    <x v="0"/>
    <n v="3"/>
    <x v="8"/>
    <n v="19"/>
    <x v="0"/>
    <n v="1"/>
    <n v="75"/>
    <n v="0.83333333300000001"/>
    <n v="0"/>
    <x v="2"/>
  </r>
  <r>
    <n v="1421"/>
    <d v="2022-01-17T00:00:00"/>
    <d v="1899-12-30T07:07:00"/>
    <n v="59"/>
    <x v="1"/>
    <x v="5"/>
    <x v="0"/>
    <n v="3"/>
    <n v="500"/>
    <n v="185"/>
    <n v="1500"/>
    <x v="0"/>
    <n v="1"/>
    <x v="3"/>
    <n v="17"/>
    <x v="1"/>
    <n v="1"/>
    <n v="1315"/>
    <n v="0.87666666699999996"/>
    <n v="1"/>
    <x v="2"/>
  </r>
  <r>
    <n v="1979"/>
    <d v="2022-08-17T00:00:00"/>
    <d v="1899-12-30T11:34:00"/>
    <n v="102"/>
    <x v="1"/>
    <x v="4"/>
    <x v="1"/>
    <n v="1"/>
    <n v="25"/>
    <n v="7.75"/>
    <n v="25"/>
    <x v="0"/>
    <n v="8"/>
    <x v="4"/>
    <n v="17"/>
    <x v="4"/>
    <n v="3"/>
    <n v="17.25"/>
    <n v="0.69"/>
    <n v="0"/>
    <x v="1"/>
  </r>
  <r>
    <n v="610"/>
    <d v="2022-12-18T00:00:00"/>
    <d v="1899-12-30T06:56:00"/>
    <n v="137"/>
    <x v="1"/>
    <x v="6"/>
    <x v="1"/>
    <n v="2"/>
    <n v="300"/>
    <n v="93"/>
    <n v="600"/>
    <x v="0"/>
    <n v="12"/>
    <x v="2"/>
    <n v="18"/>
    <x v="5"/>
    <n v="4"/>
    <n v="507"/>
    <n v="0.84499999999999997"/>
    <n v="1"/>
    <x v="0"/>
  </r>
  <r>
    <n v="1610"/>
    <d v="2022-11-23T00:00:00"/>
    <d v="1899-12-30T10:18:00"/>
    <n v="1"/>
    <x v="1"/>
    <x v="6"/>
    <x v="1"/>
    <n v="2"/>
    <n v="300"/>
    <n v="102"/>
    <n v="600"/>
    <x v="0"/>
    <n v="11"/>
    <x v="0"/>
    <n v="23"/>
    <x v="4"/>
    <n v="4"/>
    <n v="498"/>
    <n v="0.83"/>
    <n v="1"/>
    <x v="0"/>
  </r>
  <r>
    <n v="32"/>
    <d v="2022-07-16T00:00:00"/>
    <d v="1899-12-30T09:11:00"/>
    <n v="150"/>
    <x v="0"/>
    <x v="7"/>
    <x v="1"/>
    <n v="3"/>
    <n v="30"/>
    <n v="8.4"/>
    <n v="90"/>
    <x v="0"/>
    <n v="7"/>
    <x v="1"/>
    <n v="16"/>
    <x v="0"/>
    <n v="3"/>
    <n v="81.599999999999994"/>
    <n v="0.90666666699999998"/>
    <n v="0"/>
    <x v="1"/>
  </r>
  <r>
    <n v="231"/>
    <d v="2022-07-09T00:00:00"/>
    <d v="1899-12-30T07:02:00"/>
    <n v="50"/>
    <x v="1"/>
    <x v="8"/>
    <x v="0"/>
    <n v="3"/>
    <n v="50"/>
    <n v="26.5"/>
    <n v="150"/>
    <x v="0"/>
    <n v="7"/>
    <x v="1"/>
    <n v="9"/>
    <x v="0"/>
    <n v="3"/>
    <n v="123.5"/>
    <n v="0.823333333"/>
    <n v="1"/>
    <x v="1"/>
  </r>
  <r>
    <n v="683"/>
    <d v="2022-03-06T00:00:00"/>
    <d v="1899-12-30T10:22:00"/>
    <n v="82"/>
    <x v="0"/>
    <x v="9"/>
    <x v="1"/>
    <n v="2"/>
    <n v="500"/>
    <n v="175"/>
    <n v="1000"/>
    <x v="0"/>
    <n v="3"/>
    <x v="8"/>
    <n v="6"/>
    <x v="5"/>
    <n v="1"/>
    <n v="825"/>
    <n v="0.82499999999999996"/>
    <n v="1"/>
    <x v="2"/>
  </r>
  <r>
    <n v="1032"/>
    <d v="2022-04-01T00:00:00"/>
    <d v="1899-12-30T08:15:00"/>
    <n v="1"/>
    <x v="0"/>
    <x v="7"/>
    <x v="1"/>
    <n v="3"/>
    <n v="30"/>
    <n v="10.5"/>
    <n v="90"/>
    <x v="0"/>
    <n v="4"/>
    <x v="6"/>
    <n v="1"/>
    <x v="3"/>
    <n v="2"/>
    <n v="79.5"/>
    <n v="0.88333333300000005"/>
    <n v="0"/>
    <x v="3"/>
  </r>
  <r>
    <n v="1231"/>
    <d v="2022-01-29T00:00:00"/>
    <d v="1899-12-30T07:05:00"/>
    <n v="12"/>
    <x v="1"/>
    <x v="8"/>
    <x v="0"/>
    <n v="3"/>
    <n v="50"/>
    <n v="23"/>
    <n v="150"/>
    <x v="0"/>
    <n v="1"/>
    <x v="3"/>
    <n v="29"/>
    <x v="0"/>
    <n v="1"/>
    <n v="127"/>
    <n v="0.84666666700000004"/>
    <n v="1"/>
    <x v="2"/>
  </r>
  <r>
    <n v="1683"/>
    <d v="2022-05-04T00:00:00"/>
    <d v="1899-12-30T07:19:00"/>
    <n v="98"/>
    <x v="0"/>
    <x v="9"/>
    <x v="1"/>
    <n v="2"/>
    <n v="500"/>
    <n v="220"/>
    <n v="1000"/>
    <x v="0"/>
    <n v="5"/>
    <x v="7"/>
    <n v="4"/>
    <x v="4"/>
    <n v="2"/>
    <n v="780"/>
    <n v="0.78"/>
    <n v="1"/>
    <x v="3"/>
  </r>
  <r>
    <n v="367"/>
    <d v="2022-12-30T00:00:00"/>
    <d v="1899-12-30T07:03:00"/>
    <n v="123"/>
    <x v="1"/>
    <x v="10"/>
    <x v="2"/>
    <n v="1"/>
    <n v="50"/>
    <n v="18"/>
    <n v="50"/>
    <x v="0"/>
    <n v="12"/>
    <x v="2"/>
    <n v="30"/>
    <x v="3"/>
    <n v="4"/>
    <n v="32"/>
    <n v="0.64"/>
    <n v="0"/>
    <x v="0"/>
  </r>
  <r>
    <n v="391"/>
    <d v="2022-03-25T00:00:00"/>
    <d v="1899-12-30T07:37:00"/>
    <n v="68"/>
    <x v="0"/>
    <x v="4"/>
    <x v="1"/>
    <n v="2"/>
    <n v="25"/>
    <n v="6.25"/>
    <n v="50"/>
    <x v="0"/>
    <n v="3"/>
    <x v="8"/>
    <n v="25"/>
    <x v="3"/>
    <n v="1"/>
    <n v="43.75"/>
    <n v="0.875"/>
    <n v="0"/>
    <x v="2"/>
  </r>
  <r>
    <n v="432"/>
    <d v="2022-03-10T00:00:00"/>
    <d v="1899-12-30T11:31:00"/>
    <n v="17"/>
    <x v="1"/>
    <x v="11"/>
    <x v="2"/>
    <n v="2"/>
    <n v="500"/>
    <n v="190"/>
    <n v="1000"/>
    <x v="0"/>
    <n v="3"/>
    <x v="8"/>
    <n v="10"/>
    <x v="2"/>
    <n v="1"/>
    <n v="810"/>
    <n v="0.81"/>
    <n v="1"/>
    <x v="2"/>
  </r>
  <r>
    <n v="1367"/>
    <d v="2022-04-15T00:00:00"/>
    <d v="1899-12-30T11:38:00"/>
    <n v="16"/>
    <x v="1"/>
    <x v="11"/>
    <x v="2"/>
    <n v="1"/>
    <n v="50"/>
    <n v="15.5"/>
    <n v="50"/>
    <x v="0"/>
    <n v="4"/>
    <x v="6"/>
    <n v="15"/>
    <x v="3"/>
    <n v="2"/>
    <n v="34.5"/>
    <n v="0.69"/>
    <n v="0"/>
    <x v="3"/>
  </r>
  <r>
    <n v="1391"/>
    <d v="2022-03-01T00:00:00"/>
    <d v="1899-12-30T11:29:00"/>
    <n v="130"/>
    <x v="0"/>
    <x v="11"/>
    <x v="1"/>
    <n v="2"/>
    <n v="25"/>
    <n v="9.25"/>
    <n v="50"/>
    <x v="0"/>
    <n v="3"/>
    <x v="8"/>
    <n v="1"/>
    <x v="6"/>
    <n v="1"/>
    <n v="40.75"/>
    <n v="0.81499999999999995"/>
    <n v="0"/>
    <x v="2"/>
  </r>
  <r>
    <n v="1432"/>
    <d v="2022-12-25T00:00:00"/>
    <d v="1899-12-30T06:24:00"/>
    <n v="67"/>
    <x v="1"/>
    <x v="11"/>
    <x v="2"/>
    <n v="2"/>
    <n v="500"/>
    <n v="245"/>
    <n v="1000"/>
    <x v="0"/>
    <n v="12"/>
    <x v="2"/>
    <n v="25"/>
    <x v="5"/>
    <n v="4"/>
    <n v="755"/>
    <n v="0.755"/>
    <n v="1"/>
    <x v="0"/>
  </r>
  <r>
    <n v="150"/>
    <d v="2022-04-13T00:00:00"/>
    <d v="1899-12-30T08:25:00"/>
    <n v="89"/>
    <x v="1"/>
    <x v="11"/>
    <x v="2"/>
    <n v="4"/>
    <n v="30"/>
    <n v="16.2"/>
    <n v="120"/>
    <x v="0"/>
    <n v="4"/>
    <x v="6"/>
    <n v="13"/>
    <x v="4"/>
    <n v="2"/>
    <n v="103.8"/>
    <n v="0.86499999999999999"/>
    <n v="0"/>
    <x v="3"/>
  </r>
  <r>
    <n v="845"/>
    <d v="2022-10-27T00:00:00"/>
    <d v="1899-12-30T10:12:00"/>
    <n v="25"/>
    <x v="0"/>
    <x v="11"/>
    <x v="0"/>
    <n v="1"/>
    <n v="500"/>
    <n v="145"/>
    <n v="500"/>
    <x v="0"/>
    <n v="10"/>
    <x v="5"/>
    <n v="27"/>
    <x v="2"/>
    <n v="4"/>
    <n v="355"/>
    <n v="0.71"/>
    <n v="1"/>
    <x v="0"/>
  </r>
  <r>
    <n v="1150"/>
    <d v="2022-08-22T00:00:00"/>
    <d v="1899-12-30T10:04:00"/>
    <n v="77"/>
    <x v="1"/>
    <x v="11"/>
    <x v="2"/>
    <n v="4"/>
    <n v="30"/>
    <n v="10.199999999999999"/>
    <n v="120"/>
    <x v="0"/>
    <n v="8"/>
    <x v="4"/>
    <n v="22"/>
    <x v="1"/>
    <n v="3"/>
    <n v="109.8"/>
    <n v="0.91500000000000004"/>
    <n v="0"/>
    <x v="1"/>
  </r>
  <r>
    <n v="1845"/>
    <d v="2022-05-24T00:00:00"/>
    <d v="1899-12-30T07:06:00"/>
    <n v="94"/>
    <x v="0"/>
    <x v="11"/>
    <x v="0"/>
    <n v="1"/>
    <n v="500"/>
    <n v="185"/>
    <n v="500"/>
    <x v="0"/>
    <n v="5"/>
    <x v="7"/>
    <n v="24"/>
    <x v="6"/>
    <n v="2"/>
    <n v="315"/>
    <n v="0.63"/>
    <n v="1"/>
    <x v="3"/>
  </r>
  <r>
    <n v="797"/>
    <d v="2022-09-16T00:00:00"/>
    <d v="1899-12-30T06:38:00"/>
    <n v="116"/>
    <x v="0"/>
    <x v="11"/>
    <x v="0"/>
    <n v="3"/>
    <n v="25"/>
    <n v="10.75"/>
    <n v="75"/>
    <x v="0"/>
    <n v="9"/>
    <x v="9"/>
    <n v="16"/>
    <x v="3"/>
    <n v="3"/>
    <n v="64.25"/>
    <n v="0.85666666700000005"/>
    <n v="0"/>
    <x v="1"/>
  </r>
  <r>
    <n v="921"/>
    <d v="2022-09-28T00:00:00"/>
    <d v="1899-12-30T09:34:00"/>
    <n v="101"/>
    <x v="0"/>
    <x v="11"/>
    <x v="2"/>
    <n v="3"/>
    <n v="25"/>
    <n v="8"/>
    <n v="75"/>
    <x v="0"/>
    <n v="9"/>
    <x v="9"/>
    <n v="28"/>
    <x v="4"/>
    <n v="3"/>
    <n v="67"/>
    <n v="0.89333333299999995"/>
    <n v="0"/>
    <x v="1"/>
  </r>
  <r>
    <n v="1797"/>
    <d v="2022-04-16T00:00:00"/>
    <d v="1899-12-30T11:47:00"/>
    <n v="147"/>
    <x v="0"/>
    <x v="2"/>
    <x v="0"/>
    <n v="3"/>
    <n v="25"/>
    <n v="12.25"/>
    <n v="75"/>
    <x v="0"/>
    <n v="4"/>
    <x v="6"/>
    <n v="16"/>
    <x v="0"/>
    <n v="2"/>
    <n v="62.75"/>
    <n v="0.83666666700000003"/>
    <n v="0"/>
    <x v="3"/>
  </r>
  <r>
    <n v="1921"/>
    <d v="2022-02-08T00:00:00"/>
    <d v="1899-12-30T07:01:00"/>
    <n v="77"/>
    <x v="0"/>
    <x v="12"/>
    <x v="2"/>
    <n v="3"/>
    <n v="25"/>
    <n v="7.5"/>
    <n v="75"/>
    <x v="0"/>
    <n v="2"/>
    <x v="10"/>
    <n v="8"/>
    <x v="6"/>
    <n v="1"/>
    <n v="67.5"/>
    <n v="0.9"/>
    <n v="0"/>
    <x v="2"/>
  </r>
  <r>
    <n v="291"/>
    <d v="2022-11-22T00:00:00"/>
    <d v="1899-12-30T08:29:00"/>
    <n v="15"/>
    <x v="0"/>
    <x v="13"/>
    <x v="0"/>
    <n v="2"/>
    <n v="300"/>
    <n v="126"/>
    <n v="600"/>
    <x v="0"/>
    <n v="11"/>
    <x v="0"/>
    <n v="22"/>
    <x v="6"/>
    <n v="4"/>
    <n v="474"/>
    <n v="0.79"/>
    <n v="1"/>
    <x v="0"/>
  </r>
  <r>
    <n v="907"/>
    <d v="2022-09-02T00:00:00"/>
    <d v="1899-12-30T06:16:00"/>
    <n v="145"/>
    <x v="1"/>
    <x v="14"/>
    <x v="2"/>
    <n v="1"/>
    <n v="25"/>
    <n v="8.5"/>
    <n v="25"/>
    <x v="0"/>
    <n v="9"/>
    <x v="9"/>
    <n v="2"/>
    <x v="3"/>
    <n v="3"/>
    <n v="16.5"/>
    <n v="0.66"/>
    <n v="0"/>
    <x v="1"/>
  </r>
  <r>
    <n v="1291"/>
    <d v="2022-04-04T00:00:00"/>
    <d v="1899-12-30T11:19:00"/>
    <n v="72"/>
    <x v="0"/>
    <x v="13"/>
    <x v="0"/>
    <n v="2"/>
    <n v="300"/>
    <n v="153"/>
    <n v="600"/>
    <x v="0"/>
    <n v="4"/>
    <x v="6"/>
    <n v="4"/>
    <x v="1"/>
    <n v="2"/>
    <n v="447"/>
    <n v="0.745"/>
    <n v="1"/>
    <x v="3"/>
  </r>
  <r>
    <n v="1907"/>
    <d v="2022-11-17T00:00:00"/>
    <d v="1899-12-30T11:21:00"/>
    <n v="115"/>
    <x v="1"/>
    <x v="14"/>
    <x v="2"/>
    <n v="1"/>
    <n v="25"/>
    <n v="9"/>
    <n v="25"/>
    <x v="0"/>
    <n v="11"/>
    <x v="0"/>
    <n v="17"/>
    <x v="2"/>
    <n v="4"/>
    <n v="16"/>
    <n v="0.64"/>
    <n v="0"/>
    <x v="0"/>
  </r>
  <r>
    <n v="860"/>
    <d v="2022-04-11T00:00:00"/>
    <d v="1899-12-30T08:58:00"/>
    <n v="85"/>
    <x v="0"/>
    <x v="15"/>
    <x v="0"/>
    <n v="4"/>
    <n v="50"/>
    <n v="16"/>
    <n v="200"/>
    <x v="0"/>
    <n v="4"/>
    <x v="6"/>
    <n v="11"/>
    <x v="1"/>
    <n v="2"/>
    <n v="184"/>
    <n v="0.92"/>
    <n v="1"/>
    <x v="3"/>
  </r>
  <r>
    <n v="1860"/>
    <d v="2022-03-12T00:00:00"/>
    <d v="1899-12-30T11:21:00"/>
    <n v="57"/>
    <x v="0"/>
    <x v="15"/>
    <x v="0"/>
    <n v="4"/>
    <n v="50"/>
    <n v="18"/>
    <n v="200"/>
    <x v="0"/>
    <n v="3"/>
    <x v="8"/>
    <n v="12"/>
    <x v="0"/>
    <n v="1"/>
    <n v="182"/>
    <n v="0.91"/>
    <n v="1"/>
    <x v="2"/>
  </r>
  <r>
    <n v="184"/>
    <d v="2022-02-13T00:00:00"/>
    <d v="1899-12-30T06:44:00"/>
    <n v="128"/>
    <x v="0"/>
    <x v="16"/>
    <x v="2"/>
    <n v="4"/>
    <n v="50"/>
    <n v="17"/>
    <n v="200"/>
    <x v="0"/>
    <n v="2"/>
    <x v="10"/>
    <n v="13"/>
    <x v="5"/>
    <n v="1"/>
    <n v="183"/>
    <n v="0.91500000000000004"/>
    <n v="1"/>
    <x v="2"/>
  </r>
  <r>
    <n v="734"/>
    <d v="2022-03-12T00:00:00"/>
    <d v="1899-12-30T08:54:00"/>
    <n v="77"/>
    <x v="1"/>
    <x v="17"/>
    <x v="0"/>
    <n v="1"/>
    <n v="30"/>
    <n v="15.6"/>
    <n v="30"/>
    <x v="0"/>
    <n v="3"/>
    <x v="8"/>
    <n v="12"/>
    <x v="0"/>
    <n v="1"/>
    <n v="14.4"/>
    <n v="0.48"/>
    <n v="0"/>
    <x v="2"/>
  </r>
  <r>
    <n v="1184"/>
    <d v="2022-02-12T00:00:00"/>
    <d v="1899-12-30T08:28:00"/>
    <n v="23"/>
    <x v="0"/>
    <x v="16"/>
    <x v="2"/>
    <n v="4"/>
    <n v="50"/>
    <n v="27.5"/>
    <n v="200"/>
    <x v="0"/>
    <n v="2"/>
    <x v="10"/>
    <n v="12"/>
    <x v="0"/>
    <n v="1"/>
    <n v="172.5"/>
    <n v="0.86250000000000004"/>
    <n v="1"/>
    <x v="2"/>
  </r>
  <r>
    <n v="1734"/>
    <d v="2022-02-28T00:00:00"/>
    <d v="1899-12-30T08:58:00"/>
    <n v="72"/>
    <x v="1"/>
    <x v="17"/>
    <x v="0"/>
    <n v="1"/>
    <n v="30"/>
    <n v="14.4"/>
    <n v="30"/>
    <x v="0"/>
    <n v="2"/>
    <x v="10"/>
    <n v="28"/>
    <x v="1"/>
    <n v="1"/>
    <n v="15.6"/>
    <n v="0.52"/>
    <n v="0"/>
    <x v="2"/>
  </r>
  <r>
    <n v="225"/>
    <d v="2022-03-05T00:00:00"/>
    <d v="1899-12-30T07:37:00"/>
    <n v="85"/>
    <x v="1"/>
    <x v="10"/>
    <x v="1"/>
    <n v="4"/>
    <n v="25"/>
    <n v="12.75"/>
    <n v="100"/>
    <x v="0"/>
    <n v="3"/>
    <x v="8"/>
    <n v="5"/>
    <x v="0"/>
    <n v="1"/>
    <n v="87.25"/>
    <n v="0.87250000000000005"/>
    <n v="0"/>
    <x v="2"/>
  </r>
  <r>
    <n v="679"/>
    <d v="2022-08-26T00:00:00"/>
    <d v="1899-12-30T08:59:00"/>
    <n v="64"/>
    <x v="1"/>
    <x v="18"/>
    <x v="1"/>
    <n v="0"/>
    <n v="0"/>
    <n v="0"/>
    <n v="0"/>
    <x v="0"/>
    <n v="8"/>
    <x v="4"/>
    <n v="26"/>
    <x v="3"/>
    <n v="3"/>
    <n v="0"/>
    <m/>
    <n v="0"/>
    <x v="1"/>
  </r>
  <r>
    <n v="746"/>
    <d v="2022-07-05T00:00:00"/>
    <d v="1899-12-30T11:33:00"/>
    <n v="42"/>
    <x v="1"/>
    <x v="19"/>
    <x v="0"/>
    <n v="0"/>
    <n v="0"/>
    <n v="0"/>
    <n v="0"/>
    <x v="0"/>
    <n v="7"/>
    <x v="1"/>
    <n v="5"/>
    <x v="6"/>
    <n v="3"/>
    <n v="0"/>
    <m/>
    <n v="0"/>
    <x v="1"/>
  </r>
  <r>
    <n v="1225"/>
    <d v="2022-02-02T00:00:00"/>
    <d v="1899-12-30T09:51:00"/>
    <n v="137"/>
    <x v="1"/>
    <x v="10"/>
    <x v="1"/>
    <n v="0"/>
    <n v="0"/>
    <n v="0"/>
    <n v="0"/>
    <x v="0"/>
    <n v="2"/>
    <x v="10"/>
    <n v="2"/>
    <x v="4"/>
    <n v="1"/>
    <n v="0"/>
    <m/>
    <n v="0"/>
    <x v="2"/>
  </r>
  <r>
    <n v="1679"/>
    <d v="2022-09-23T00:00:00"/>
    <d v="1899-12-30T08:08:00"/>
    <n v="71"/>
    <x v="1"/>
    <x v="18"/>
    <x v="1"/>
    <n v="3"/>
    <n v="30"/>
    <n v="15.3"/>
    <n v="90"/>
    <x v="0"/>
    <n v="9"/>
    <x v="9"/>
    <n v="23"/>
    <x v="3"/>
    <n v="3"/>
    <n v="74.7"/>
    <n v="0.83"/>
    <n v="0"/>
    <x v="1"/>
  </r>
  <r>
    <n v="1746"/>
    <d v="2022-06-13T00:00:00"/>
    <d v="1899-12-30T07:59:00"/>
    <n v="88"/>
    <x v="1"/>
    <x v="19"/>
    <x v="0"/>
    <n v="3"/>
    <n v="30"/>
    <n v="10.8"/>
    <n v="90"/>
    <x v="0"/>
    <n v="6"/>
    <x v="11"/>
    <n v="13"/>
    <x v="1"/>
    <n v="2"/>
    <n v="79.2"/>
    <n v="0.88"/>
    <n v="0"/>
    <x v="3"/>
  </r>
  <r>
    <n v="3"/>
    <d v="2022-06-14T00:00:00"/>
    <d v="1899-12-30T07:08:00"/>
    <n v="114"/>
    <x v="0"/>
    <x v="20"/>
    <x v="2"/>
    <n v="1"/>
    <n v="30"/>
    <n v="8.1"/>
    <n v="30"/>
    <x v="0"/>
    <n v="6"/>
    <x v="11"/>
    <n v="14"/>
    <x v="6"/>
    <n v="2"/>
    <n v="21.9"/>
    <n v="0.73"/>
    <n v="0"/>
    <x v="3"/>
  </r>
  <r>
    <n v="464"/>
    <d v="2022-03-06T00:00:00"/>
    <d v="1899-12-30T11:13:00"/>
    <n v="24"/>
    <x v="0"/>
    <x v="9"/>
    <x v="2"/>
    <n v="2"/>
    <n v="300"/>
    <n v="75"/>
    <n v="600"/>
    <x v="0"/>
    <n v="3"/>
    <x v="8"/>
    <n v="6"/>
    <x v="5"/>
    <n v="1"/>
    <n v="525"/>
    <n v="0.875"/>
    <n v="1"/>
    <x v="2"/>
  </r>
  <r>
    <n v="484"/>
    <d v="2022-03-13T00:00:00"/>
    <d v="1899-12-30T07:52:00"/>
    <n v="135"/>
    <x v="1"/>
    <x v="4"/>
    <x v="0"/>
    <n v="4"/>
    <n v="300"/>
    <n v="75"/>
    <n v="1200"/>
    <x v="0"/>
    <n v="3"/>
    <x v="8"/>
    <n v="13"/>
    <x v="5"/>
    <n v="1"/>
    <n v="1125"/>
    <n v="0.9375"/>
    <n v="1"/>
    <x v="2"/>
  </r>
  <r>
    <n v="591"/>
    <d v="2022-03-21T00:00:00"/>
    <d v="1899-12-30T08:38:00"/>
    <n v="94"/>
    <x v="0"/>
    <x v="21"/>
    <x v="2"/>
    <n v="4"/>
    <n v="25"/>
    <n v="6.5"/>
    <n v="100"/>
    <x v="0"/>
    <n v="3"/>
    <x v="8"/>
    <n v="21"/>
    <x v="1"/>
    <n v="1"/>
    <n v="93.5"/>
    <n v="0.93500000000000005"/>
    <n v="0"/>
    <x v="2"/>
  </r>
  <r>
    <n v="1003"/>
    <d v="2022-01-26T00:00:00"/>
    <d v="1899-12-30T07:59:00"/>
    <n v="80"/>
    <x v="0"/>
    <x v="20"/>
    <x v="2"/>
    <n v="1"/>
    <n v="30"/>
    <n v="15.9"/>
    <n v="30"/>
    <x v="0"/>
    <n v="1"/>
    <x v="3"/>
    <n v="26"/>
    <x v="4"/>
    <n v="1"/>
    <n v="14.1"/>
    <n v="0.47"/>
    <n v="0"/>
    <x v="2"/>
  </r>
  <r>
    <n v="1464"/>
    <d v="2022-11-13T00:00:00"/>
    <d v="1899-12-30T10:06:00"/>
    <n v="80"/>
    <x v="0"/>
    <x v="9"/>
    <x v="2"/>
    <n v="2"/>
    <n v="300"/>
    <n v="126"/>
    <n v="600"/>
    <x v="0"/>
    <n v="11"/>
    <x v="0"/>
    <n v="13"/>
    <x v="5"/>
    <n v="4"/>
    <n v="474"/>
    <n v="0.79"/>
    <n v="1"/>
    <x v="0"/>
  </r>
  <r>
    <n v="1484"/>
    <d v="2022-11-23T00:00:00"/>
    <d v="1899-12-30T09:29:00"/>
    <n v="22"/>
    <x v="1"/>
    <x v="4"/>
    <x v="0"/>
    <n v="4"/>
    <n v="300"/>
    <n v="147"/>
    <n v="1200"/>
    <x v="0"/>
    <n v="11"/>
    <x v="0"/>
    <n v="23"/>
    <x v="4"/>
    <n v="4"/>
    <n v="1053"/>
    <n v="0.87749999999999995"/>
    <n v="1"/>
    <x v="0"/>
  </r>
  <r>
    <n v="1591"/>
    <d v="2022-09-29T00:00:00"/>
    <d v="1899-12-30T11:00:00"/>
    <n v="62"/>
    <x v="0"/>
    <x v="21"/>
    <x v="2"/>
    <n v="4"/>
    <n v="25"/>
    <n v="7"/>
    <n v="100"/>
    <x v="0"/>
    <n v="9"/>
    <x v="9"/>
    <n v="29"/>
    <x v="2"/>
    <n v="3"/>
    <n v="93"/>
    <n v="0.93"/>
    <n v="0"/>
    <x v="1"/>
  </r>
  <r>
    <n v="21"/>
    <d v="2022-07-11T00:00:00"/>
    <d v="1899-12-30T07:33:00"/>
    <n v="59"/>
    <x v="1"/>
    <x v="20"/>
    <x v="1"/>
    <n v="1"/>
    <n v="500"/>
    <n v="275"/>
    <n v="500"/>
    <x v="0"/>
    <n v="7"/>
    <x v="1"/>
    <n v="11"/>
    <x v="1"/>
    <n v="3"/>
    <n v="225"/>
    <n v="0.45"/>
    <n v="1"/>
    <x v="1"/>
  </r>
  <r>
    <n v="708"/>
    <d v="2022-04-06T00:00:00"/>
    <d v="1899-12-30T08:38:00"/>
    <n v="62"/>
    <x v="1"/>
    <x v="22"/>
    <x v="1"/>
    <n v="3"/>
    <n v="300"/>
    <n v="87"/>
    <n v="900"/>
    <x v="0"/>
    <n v="4"/>
    <x v="6"/>
    <n v="6"/>
    <x v="4"/>
    <n v="2"/>
    <n v="813"/>
    <n v="0.90333333299999996"/>
    <n v="1"/>
    <x v="3"/>
  </r>
  <r>
    <n v="713"/>
    <d v="2022-04-16T00:00:00"/>
    <d v="1899-12-30T11:43:00"/>
    <n v="39"/>
    <x v="0"/>
    <x v="23"/>
    <x v="1"/>
    <n v="3"/>
    <n v="25"/>
    <n v="11.25"/>
    <n v="75"/>
    <x v="0"/>
    <n v="4"/>
    <x v="6"/>
    <n v="16"/>
    <x v="0"/>
    <n v="2"/>
    <n v="63.75"/>
    <n v="0.85"/>
    <n v="0"/>
    <x v="3"/>
  </r>
  <r>
    <n v="768"/>
    <d v="2022-06-27T00:00:00"/>
    <d v="1899-12-30T06:50:00"/>
    <n v="58"/>
    <x v="1"/>
    <x v="24"/>
    <x v="1"/>
    <n v="3"/>
    <n v="25"/>
    <n v="10.5"/>
    <n v="75"/>
    <x v="0"/>
    <n v="6"/>
    <x v="11"/>
    <n v="27"/>
    <x v="1"/>
    <n v="2"/>
    <n v="64.5"/>
    <n v="0.86"/>
    <n v="0"/>
    <x v="3"/>
  </r>
  <r>
    <n v="1021"/>
    <d v="2022-06-11T00:00:00"/>
    <d v="1899-12-30T10:19:00"/>
    <n v="44"/>
    <x v="1"/>
    <x v="20"/>
    <x v="1"/>
    <n v="1"/>
    <n v="500"/>
    <n v="155"/>
    <n v="500"/>
    <x v="0"/>
    <n v="6"/>
    <x v="11"/>
    <n v="11"/>
    <x v="0"/>
    <n v="2"/>
    <n v="345"/>
    <n v="0.69"/>
    <n v="1"/>
    <x v="3"/>
  </r>
  <r>
    <n v="1708"/>
    <d v="2022-02-08T00:00:00"/>
    <d v="1899-12-30T07:47:00"/>
    <n v="41"/>
    <x v="1"/>
    <x v="22"/>
    <x v="1"/>
    <n v="3"/>
    <n v="300"/>
    <n v="162"/>
    <n v="900"/>
    <x v="0"/>
    <n v="2"/>
    <x v="10"/>
    <n v="8"/>
    <x v="6"/>
    <n v="1"/>
    <n v="738"/>
    <n v="0.82"/>
    <n v="1"/>
    <x v="2"/>
  </r>
  <r>
    <n v="1713"/>
    <d v="2022-10-03T00:00:00"/>
    <d v="1899-12-30T10:10:00"/>
    <n v="90"/>
    <x v="0"/>
    <x v="23"/>
    <x v="1"/>
    <n v="3"/>
    <n v="25"/>
    <n v="10.75"/>
    <n v="75"/>
    <x v="0"/>
    <n v="10"/>
    <x v="5"/>
    <n v="3"/>
    <x v="1"/>
    <n v="4"/>
    <n v="64.25"/>
    <n v="0.85666666700000005"/>
    <n v="0"/>
    <x v="0"/>
  </r>
  <r>
    <n v="1768"/>
    <d v="2022-07-31T00:00:00"/>
    <d v="1899-12-30T09:52:00"/>
    <n v="85"/>
    <x v="1"/>
    <x v="24"/>
    <x v="1"/>
    <n v="3"/>
    <n v="25"/>
    <n v="8.75"/>
    <n v="75"/>
    <x v="0"/>
    <n v="7"/>
    <x v="1"/>
    <n v="31"/>
    <x v="5"/>
    <n v="3"/>
    <n v="66.25"/>
    <n v="0.88333333300000005"/>
    <n v="0"/>
    <x v="1"/>
  </r>
  <r>
    <n v="499"/>
    <d v="2022-04-03T00:00:00"/>
    <d v="1899-12-30T10:52:00"/>
    <n v="15"/>
    <x v="0"/>
    <x v="1"/>
    <x v="1"/>
    <n v="2"/>
    <n v="30"/>
    <n v="16.5"/>
    <n v="60"/>
    <x v="0"/>
    <n v="4"/>
    <x v="6"/>
    <n v="3"/>
    <x v="5"/>
    <n v="2"/>
    <n v="43.5"/>
    <n v="0.72499999999999998"/>
    <n v="0"/>
    <x v="3"/>
  </r>
  <r>
    <n v="697"/>
    <d v="2022-12-25T00:00:00"/>
    <d v="1899-12-30T07:52:00"/>
    <n v="152"/>
    <x v="0"/>
    <x v="21"/>
    <x v="0"/>
    <n v="1"/>
    <n v="500"/>
    <n v="200"/>
    <n v="500"/>
    <x v="0"/>
    <n v="12"/>
    <x v="2"/>
    <n v="25"/>
    <x v="5"/>
    <n v="4"/>
    <n v="300"/>
    <n v="0.6"/>
    <n v="1"/>
    <x v="0"/>
  </r>
  <r>
    <n v="831"/>
    <d v="2022-11-30T00:00:00"/>
    <d v="1899-12-30T11:49:00"/>
    <n v="149"/>
    <x v="0"/>
    <x v="17"/>
    <x v="2"/>
    <n v="4"/>
    <n v="25"/>
    <n v="13.75"/>
    <n v="100"/>
    <x v="0"/>
    <n v="11"/>
    <x v="0"/>
    <n v="30"/>
    <x v="4"/>
    <n v="4"/>
    <n v="86.25"/>
    <n v="0.86250000000000004"/>
    <n v="0"/>
    <x v="0"/>
  </r>
  <r>
    <n v="1499"/>
    <d v="2022-09-23T00:00:00"/>
    <d v="1899-12-30T09:46:00"/>
    <n v="3"/>
    <x v="0"/>
    <x v="1"/>
    <x v="1"/>
    <n v="2"/>
    <n v="30"/>
    <n v="11.7"/>
    <n v="60"/>
    <x v="0"/>
    <n v="9"/>
    <x v="9"/>
    <n v="23"/>
    <x v="3"/>
    <n v="3"/>
    <n v="48.3"/>
    <n v="0.80500000000000005"/>
    <n v="0"/>
    <x v="1"/>
  </r>
  <r>
    <n v="1697"/>
    <d v="2022-12-18T00:00:00"/>
    <d v="1899-12-30T08:22:00"/>
    <n v="54"/>
    <x v="0"/>
    <x v="21"/>
    <x v="0"/>
    <n v="1"/>
    <n v="500"/>
    <n v="265"/>
    <n v="500"/>
    <x v="0"/>
    <n v="12"/>
    <x v="2"/>
    <n v="18"/>
    <x v="5"/>
    <n v="4"/>
    <n v="235"/>
    <n v="0.47"/>
    <n v="1"/>
    <x v="0"/>
  </r>
  <r>
    <n v="1831"/>
    <d v="2022-03-26T00:00:00"/>
    <d v="1899-12-30T10:54:00"/>
    <n v="80"/>
    <x v="0"/>
    <x v="17"/>
    <x v="2"/>
    <n v="4"/>
    <n v="25"/>
    <n v="6.5"/>
    <n v="100"/>
    <x v="0"/>
    <n v="3"/>
    <x v="8"/>
    <n v="26"/>
    <x v="0"/>
    <n v="1"/>
    <n v="93.5"/>
    <n v="0.93500000000000005"/>
    <n v="0"/>
    <x v="2"/>
  </r>
  <r>
    <n v="15"/>
    <d v="2022-07-01T00:00:00"/>
    <d v="1899-12-30T11:50:00"/>
    <n v="75"/>
    <x v="1"/>
    <x v="25"/>
    <x v="2"/>
    <n v="4"/>
    <n v="500"/>
    <n v="210"/>
    <n v="2000"/>
    <x v="0"/>
    <n v="7"/>
    <x v="1"/>
    <n v="1"/>
    <x v="3"/>
    <n v="3"/>
    <n v="1790"/>
    <n v="0.89500000000000002"/>
    <n v="1"/>
    <x v="1"/>
  </r>
  <r>
    <n v="743"/>
    <d v="2022-08-07T00:00:00"/>
    <d v="1899-12-30T07:54:00"/>
    <n v="55"/>
    <x v="1"/>
    <x v="23"/>
    <x v="1"/>
    <n v="4"/>
    <n v="500"/>
    <n v="260"/>
    <n v="2000"/>
    <x v="0"/>
    <n v="8"/>
    <x v="4"/>
    <n v="7"/>
    <x v="5"/>
    <n v="3"/>
    <n v="1740"/>
    <n v="0.87"/>
    <n v="1"/>
    <x v="1"/>
  </r>
  <r>
    <n v="1015"/>
    <d v="2022-03-09T00:00:00"/>
    <d v="1899-12-30T11:53:00"/>
    <n v="94"/>
    <x v="1"/>
    <x v="25"/>
    <x v="2"/>
    <n v="4"/>
    <n v="500"/>
    <n v="200"/>
    <n v="2000"/>
    <x v="0"/>
    <n v="3"/>
    <x v="8"/>
    <n v="9"/>
    <x v="4"/>
    <n v="1"/>
    <n v="1800"/>
    <n v="0.9"/>
    <n v="1"/>
    <x v="2"/>
  </r>
  <r>
    <n v="1743"/>
    <d v="2022-10-26T00:00:00"/>
    <d v="1899-12-30T09:37:00"/>
    <n v="47"/>
    <x v="1"/>
    <x v="23"/>
    <x v="1"/>
    <n v="4"/>
    <n v="500"/>
    <n v="250"/>
    <n v="2000"/>
    <x v="0"/>
    <n v="10"/>
    <x v="5"/>
    <n v="26"/>
    <x v="4"/>
    <n v="4"/>
    <n v="1750"/>
    <n v="0.875"/>
    <n v="1"/>
    <x v="0"/>
  </r>
  <r>
    <n v="14"/>
    <d v="2022-05-18T00:00:00"/>
    <d v="1899-12-30T07:11:00"/>
    <n v="8"/>
    <x v="0"/>
    <x v="3"/>
    <x v="0"/>
    <n v="4"/>
    <n v="30"/>
    <n v="13.2"/>
    <n v="120"/>
    <x v="0"/>
    <n v="5"/>
    <x v="7"/>
    <n v="18"/>
    <x v="4"/>
    <n v="2"/>
    <n v="106.8"/>
    <n v="0.89"/>
    <n v="0"/>
    <x v="3"/>
  </r>
  <r>
    <n v="103"/>
    <d v="2022-11-12T00:00:00"/>
    <d v="1899-12-30T10:05:00"/>
    <n v="33"/>
    <x v="1"/>
    <x v="26"/>
    <x v="0"/>
    <n v="1"/>
    <n v="25"/>
    <n v="10.75"/>
    <n v="25"/>
    <x v="0"/>
    <n v="11"/>
    <x v="0"/>
    <n v="12"/>
    <x v="0"/>
    <n v="4"/>
    <n v="14.25"/>
    <n v="0.56999999999999995"/>
    <n v="0"/>
    <x v="0"/>
  </r>
  <r>
    <n v="238"/>
    <d v="2022-05-10T00:00:00"/>
    <d v="1899-12-30T11:52:00"/>
    <n v="20"/>
    <x v="1"/>
    <x v="27"/>
    <x v="1"/>
    <n v="1"/>
    <n v="500"/>
    <n v="150"/>
    <n v="500"/>
    <x v="0"/>
    <n v="5"/>
    <x v="7"/>
    <n v="10"/>
    <x v="6"/>
    <n v="2"/>
    <n v="350"/>
    <n v="0.7"/>
    <n v="1"/>
    <x v="3"/>
  </r>
  <r>
    <n v="986"/>
    <d v="2022-08-01T00:00:00"/>
    <d v="1899-12-30T09:35:00"/>
    <n v="65"/>
    <x v="1"/>
    <x v="28"/>
    <x v="0"/>
    <n v="2"/>
    <n v="500"/>
    <n v="200"/>
    <n v="1000"/>
    <x v="0"/>
    <n v="8"/>
    <x v="4"/>
    <n v="1"/>
    <x v="1"/>
    <n v="3"/>
    <n v="800"/>
    <n v="0.8"/>
    <n v="1"/>
    <x v="1"/>
  </r>
  <r>
    <n v="1014"/>
    <d v="2022-02-04T00:00:00"/>
    <d v="1899-12-30T10:26:00"/>
    <n v="147"/>
    <x v="0"/>
    <x v="3"/>
    <x v="0"/>
    <n v="4"/>
    <n v="30"/>
    <n v="11.4"/>
    <n v="120"/>
    <x v="0"/>
    <n v="2"/>
    <x v="10"/>
    <n v="4"/>
    <x v="3"/>
    <n v="1"/>
    <n v="108.6"/>
    <n v="0.90500000000000003"/>
    <n v="0"/>
    <x v="2"/>
  </r>
  <r>
    <n v="1103"/>
    <d v="2022-02-14T00:00:00"/>
    <d v="1899-12-30T07:11:00"/>
    <n v="61"/>
    <x v="1"/>
    <x v="26"/>
    <x v="0"/>
    <n v="1"/>
    <n v="25"/>
    <n v="6.75"/>
    <n v="25"/>
    <x v="0"/>
    <n v="2"/>
    <x v="10"/>
    <n v="14"/>
    <x v="1"/>
    <n v="1"/>
    <n v="18.25"/>
    <n v="0.73"/>
    <n v="0"/>
    <x v="2"/>
  </r>
  <r>
    <n v="1238"/>
    <d v="2022-09-17T00:00:00"/>
    <d v="1899-12-30T07:38:00"/>
    <n v="129"/>
    <x v="1"/>
    <x v="27"/>
    <x v="1"/>
    <n v="1"/>
    <n v="500"/>
    <n v="165"/>
    <n v="500"/>
    <x v="0"/>
    <n v="9"/>
    <x v="9"/>
    <n v="17"/>
    <x v="0"/>
    <n v="3"/>
    <n v="335"/>
    <n v="0.67"/>
    <n v="1"/>
    <x v="1"/>
  </r>
  <r>
    <n v="1986"/>
    <d v="2022-09-14T00:00:00"/>
    <d v="1899-12-30T08:28:00"/>
    <n v="29"/>
    <x v="1"/>
    <x v="28"/>
    <x v="0"/>
    <n v="2"/>
    <n v="500"/>
    <n v="145"/>
    <n v="1000"/>
    <x v="0"/>
    <n v="9"/>
    <x v="9"/>
    <n v="14"/>
    <x v="4"/>
    <n v="3"/>
    <n v="855"/>
    <n v="0.85499999999999998"/>
    <n v="1"/>
    <x v="1"/>
  </r>
  <r>
    <n v="438"/>
    <d v="2022-08-31T00:00:00"/>
    <d v="1899-12-30T10:15:00"/>
    <n v="88"/>
    <x v="1"/>
    <x v="25"/>
    <x v="0"/>
    <n v="1"/>
    <n v="30"/>
    <n v="15.9"/>
    <n v="30"/>
    <x v="0"/>
    <n v="8"/>
    <x v="4"/>
    <n v="31"/>
    <x v="4"/>
    <n v="3"/>
    <n v="14.1"/>
    <n v="0.47"/>
    <n v="0"/>
    <x v="1"/>
  </r>
  <r>
    <n v="1438"/>
    <d v="2022-01-07T00:00:00"/>
    <d v="1899-12-30T10:00:00"/>
    <n v="72"/>
    <x v="1"/>
    <x v="25"/>
    <x v="0"/>
    <n v="1"/>
    <n v="30"/>
    <n v="13.8"/>
    <n v="30"/>
    <x v="0"/>
    <n v="1"/>
    <x v="3"/>
    <n v="7"/>
    <x v="3"/>
    <n v="1"/>
    <n v="16.2"/>
    <n v="0.54"/>
    <n v="0"/>
    <x v="2"/>
  </r>
  <r>
    <n v="475"/>
    <d v="2022-08-12T00:00:00"/>
    <d v="1899-12-30T10:39:00"/>
    <n v="78"/>
    <x v="0"/>
    <x v="6"/>
    <x v="0"/>
    <n v="3"/>
    <n v="25"/>
    <n v="9"/>
    <n v="75"/>
    <x v="0"/>
    <n v="8"/>
    <x v="4"/>
    <n v="12"/>
    <x v="3"/>
    <n v="3"/>
    <n v="66"/>
    <n v="0.88"/>
    <n v="0"/>
    <x v="1"/>
  </r>
  <r>
    <n v="505"/>
    <d v="2022-12-17T00:00:00"/>
    <d v="1899-12-30T07:25:00"/>
    <n v="86"/>
    <x v="0"/>
    <x v="24"/>
    <x v="1"/>
    <n v="1"/>
    <n v="50"/>
    <n v="19.5"/>
    <n v="50"/>
    <x v="0"/>
    <n v="12"/>
    <x v="2"/>
    <n v="17"/>
    <x v="0"/>
    <n v="4"/>
    <n v="30.5"/>
    <n v="0.61"/>
    <n v="0"/>
    <x v="0"/>
  </r>
  <r>
    <n v="1475"/>
    <d v="2022-10-04T00:00:00"/>
    <d v="1899-12-30T07:03:00"/>
    <n v="132"/>
    <x v="0"/>
    <x v="6"/>
    <x v="0"/>
    <n v="3"/>
    <n v="25"/>
    <n v="10.75"/>
    <n v="75"/>
    <x v="0"/>
    <n v="10"/>
    <x v="5"/>
    <n v="4"/>
    <x v="6"/>
    <n v="4"/>
    <n v="64.25"/>
    <n v="0.85666666700000005"/>
    <n v="0"/>
    <x v="0"/>
  </r>
  <r>
    <n v="1505"/>
    <d v="2022-10-30T00:00:00"/>
    <d v="1899-12-30T08:00:00"/>
    <n v="98"/>
    <x v="0"/>
    <x v="24"/>
    <x v="1"/>
    <n v="1"/>
    <n v="50"/>
    <n v="14.5"/>
    <n v="50"/>
    <x v="0"/>
    <n v="10"/>
    <x v="5"/>
    <n v="30"/>
    <x v="5"/>
    <n v="4"/>
    <n v="35.5"/>
    <n v="0.71"/>
    <n v="0"/>
    <x v="0"/>
  </r>
  <r>
    <n v="344"/>
    <d v="2022-07-17T00:00:00"/>
    <d v="1899-12-30T09:47:00"/>
    <n v="69"/>
    <x v="1"/>
    <x v="25"/>
    <x v="1"/>
    <n v="1"/>
    <n v="30"/>
    <n v="7.5"/>
    <n v="30"/>
    <x v="0"/>
    <n v="7"/>
    <x v="1"/>
    <n v="17"/>
    <x v="5"/>
    <n v="3"/>
    <n v="22.5"/>
    <n v="0.75"/>
    <n v="0"/>
    <x v="1"/>
  </r>
  <r>
    <n v="448"/>
    <d v="2022-03-19T00:00:00"/>
    <d v="1899-12-30T09:36:00"/>
    <n v="86"/>
    <x v="1"/>
    <x v="29"/>
    <x v="1"/>
    <n v="2"/>
    <n v="30"/>
    <n v="16.2"/>
    <n v="60"/>
    <x v="0"/>
    <n v="3"/>
    <x v="8"/>
    <n v="19"/>
    <x v="0"/>
    <n v="1"/>
    <n v="43.8"/>
    <n v="0.73"/>
    <n v="0"/>
    <x v="2"/>
  </r>
  <r>
    <n v="742"/>
    <d v="2022-03-19T00:00:00"/>
    <d v="1899-12-30T06:08:00"/>
    <n v="37"/>
    <x v="1"/>
    <x v="9"/>
    <x v="2"/>
    <n v="4"/>
    <n v="500"/>
    <n v="195"/>
    <n v="2000"/>
    <x v="0"/>
    <n v="3"/>
    <x v="8"/>
    <n v="19"/>
    <x v="0"/>
    <n v="1"/>
    <n v="1805"/>
    <n v="0.90249999999999997"/>
    <n v="1"/>
    <x v="2"/>
  </r>
  <r>
    <n v="1344"/>
    <d v="2022-12-18T00:00:00"/>
    <d v="1899-12-30T06:12:00"/>
    <n v="144"/>
    <x v="1"/>
    <x v="25"/>
    <x v="1"/>
    <n v="1"/>
    <n v="30"/>
    <n v="11.1"/>
    <n v="30"/>
    <x v="0"/>
    <n v="12"/>
    <x v="2"/>
    <n v="18"/>
    <x v="5"/>
    <n v="4"/>
    <n v="18.899999999999999"/>
    <n v="0.63"/>
    <n v="0"/>
    <x v="0"/>
  </r>
  <r>
    <n v="1448"/>
    <d v="2022-05-16T00:00:00"/>
    <d v="1899-12-30T06:28:00"/>
    <n v="51"/>
    <x v="1"/>
    <x v="29"/>
    <x v="1"/>
    <n v="2"/>
    <n v="30"/>
    <n v="9.3000000000000007"/>
    <n v="60"/>
    <x v="0"/>
    <n v="5"/>
    <x v="7"/>
    <n v="16"/>
    <x v="1"/>
    <n v="2"/>
    <n v="50.7"/>
    <n v="0.84499999999999997"/>
    <n v="0"/>
    <x v="3"/>
  </r>
  <r>
    <n v="1742"/>
    <d v="2022-11-22T00:00:00"/>
    <d v="1899-12-30T08:25:00"/>
    <n v="18"/>
    <x v="1"/>
    <x v="9"/>
    <x v="2"/>
    <n v="4"/>
    <n v="500"/>
    <n v="220"/>
    <n v="2000"/>
    <x v="0"/>
    <n v="11"/>
    <x v="0"/>
    <n v="22"/>
    <x v="6"/>
    <n v="4"/>
    <n v="1780"/>
    <n v="0.89"/>
    <n v="1"/>
    <x v="0"/>
  </r>
  <r>
    <n v="445"/>
    <d v="2022-04-14T00:00:00"/>
    <d v="1899-12-30T10:48:00"/>
    <n v="132"/>
    <x v="1"/>
    <x v="21"/>
    <x v="2"/>
    <n v="1"/>
    <n v="300"/>
    <n v="138"/>
    <n v="300"/>
    <x v="0"/>
    <n v="4"/>
    <x v="6"/>
    <n v="14"/>
    <x v="2"/>
    <n v="2"/>
    <n v="162"/>
    <n v="0.54"/>
    <n v="1"/>
    <x v="3"/>
  </r>
  <r>
    <n v="787"/>
    <d v="2022-06-10T00:00:00"/>
    <d v="1899-12-30T10:42:00"/>
    <n v="25"/>
    <x v="0"/>
    <x v="0"/>
    <x v="2"/>
    <n v="1"/>
    <n v="25"/>
    <n v="13.75"/>
    <n v="25"/>
    <x v="0"/>
    <n v="6"/>
    <x v="11"/>
    <n v="10"/>
    <x v="3"/>
    <n v="2"/>
    <n v="11.25"/>
    <n v="0.45"/>
    <n v="0"/>
    <x v="3"/>
  </r>
  <r>
    <n v="1445"/>
    <d v="2022-04-19T00:00:00"/>
    <d v="1899-12-30T06:16:00"/>
    <n v="31"/>
    <x v="1"/>
    <x v="21"/>
    <x v="2"/>
    <n v="1"/>
    <n v="300"/>
    <n v="129"/>
    <n v="300"/>
    <x v="0"/>
    <n v="4"/>
    <x v="6"/>
    <n v="19"/>
    <x v="6"/>
    <n v="2"/>
    <n v="171"/>
    <n v="0.56999999999999995"/>
    <n v="1"/>
    <x v="3"/>
  </r>
  <r>
    <n v="1787"/>
    <d v="2022-05-30T00:00:00"/>
    <d v="1899-12-30T07:42:00"/>
    <n v="104"/>
    <x v="0"/>
    <x v="0"/>
    <x v="2"/>
    <n v="1"/>
    <n v="25"/>
    <n v="10"/>
    <n v="25"/>
    <x v="0"/>
    <n v="5"/>
    <x v="7"/>
    <n v="30"/>
    <x v="1"/>
    <n v="2"/>
    <n v="15"/>
    <n v="0.6"/>
    <n v="0"/>
    <x v="3"/>
  </r>
  <r>
    <n v="49"/>
    <d v="2022-09-17T00:00:00"/>
    <d v="1899-12-30T10:33:00"/>
    <n v="37"/>
    <x v="1"/>
    <x v="29"/>
    <x v="2"/>
    <n v="2"/>
    <n v="500"/>
    <n v="255"/>
    <n v="1000"/>
    <x v="0"/>
    <n v="9"/>
    <x v="9"/>
    <n v="17"/>
    <x v="0"/>
    <n v="3"/>
    <n v="745"/>
    <n v="0.745"/>
    <n v="1"/>
    <x v="1"/>
  </r>
  <r>
    <n v="420"/>
    <d v="2022-01-02T00:00:00"/>
    <d v="1899-12-30T10:53:00"/>
    <n v="28"/>
    <x v="1"/>
    <x v="30"/>
    <x v="0"/>
    <n v="4"/>
    <n v="500"/>
    <n v="200"/>
    <n v="2000"/>
    <x v="0"/>
    <n v="1"/>
    <x v="3"/>
    <n v="2"/>
    <x v="5"/>
    <n v="1"/>
    <n v="1800"/>
    <n v="0.9"/>
    <n v="1"/>
    <x v="2"/>
  </r>
  <r>
    <n v="519"/>
    <d v="2022-04-08T00:00:00"/>
    <d v="1899-12-30T10:17:00"/>
    <n v="52"/>
    <x v="1"/>
    <x v="31"/>
    <x v="2"/>
    <n v="4"/>
    <n v="30"/>
    <n v="16.5"/>
    <n v="120"/>
    <x v="0"/>
    <n v="4"/>
    <x v="6"/>
    <n v="8"/>
    <x v="3"/>
    <n v="2"/>
    <n v="103.5"/>
    <n v="0.86250000000000004"/>
    <n v="0"/>
    <x v="3"/>
  </r>
  <r>
    <n v="1049"/>
    <d v="2022-05-16T00:00:00"/>
    <d v="1899-12-30T06:36:00"/>
    <n v="143"/>
    <x v="1"/>
    <x v="29"/>
    <x v="2"/>
    <n v="2"/>
    <n v="500"/>
    <n v="125"/>
    <n v="1000"/>
    <x v="0"/>
    <n v="5"/>
    <x v="7"/>
    <n v="16"/>
    <x v="1"/>
    <n v="2"/>
    <n v="875"/>
    <n v="0.875"/>
    <n v="1"/>
    <x v="3"/>
  </r>
  <r>
    <n v="1420"/>
    <d v="2022-04-15T00:00:00"/>
    <d v="1899-12-30T07:01:00"/>
    <n v="138"/>
    <x v="1"/>
    <x v="30"/>
    <x v="0"/>
    <n v="4"/>
    <n v="500"/>
    <n v="205"/>
    <n v="2000"/>
    <x v="0"/>
    <n v="4"/>
    <x v="6"/>
    <n v="15"/>
    <x v="3"/>
    <n v="2"/>
    <n v="1795"/>
    <n v="0.89749999999999996"/>
    <n v="1"/>
    <x v="3"/>
  </r>
  <r>
    <n v="1519"/>
    <d v="2022-01-08T00:00:00"/>
    <d v="1899-12-30T07:35:00"/>
    <n v="139"/>
    <x v="1"/>
    <x v="31"/>
    <x v="2"/>
    <n v="4"/>
    <n v="30"/>
    <n v="9.3000000000000007"/>
    <n v="120"/>
    <x v="0"/>
    <n v="1"/>
    <x v="3"/>
    <n v="8"/>
    <x v="0"/>
    <n v="1"/>
    <n v="110.7"/>
    <n v="0.92249999999999999"/>
    <n v="0"/>
    <x v="2"/>
  </r>
  <r>
    <n v="64"/>
    <d v="2022-11-15T00:00:00"/>
    <d v="1899-12-30T06:34:00"/>
    <n v="7"/>
    <x v="0"/>
    <x v="28"/>
    <x v="0"/>
    <n v="4"/>
    <n v="25"/>
    <n v="8.5"/>
    <n v="100"/>
    <x v="0"/>
    <n v="11"/>
    <x v="0"/>
    <n v="15"/>
    <x v="6"/>
    <n v="4"/>
    <n v="91.5"/>
    <n v="0.91500000000000004"/>
    <n v="0"/>
    <x v="0"/>
  </r>
  <r>
    <n v="592"/>
    <d v="2022-12-26T00:00:00"/>
    <d v="1899-12-30T09:15:00"/>
    <n v="77"/>
    <x v="1"/>
    <x v="1"/>
    <x v="1"/>
    <n v="4"/>
    <n v="500"/>
    <n v="275"/>
    <n v="2000"/>
    <x v="0"/>
    <n v="12"/>
    <x v="2"/>
    <n v="26"/>
    <x v="1"/>
    <n v="4"/>
    <n v="1725"/>
    <n v="0.86250000000000004"/>
    <n v="1"/>
    <x v="0"/>
  </r>
  <r>
    <n v="912"/>
    <d v="2022-10-31T00:00:00"/>
    <d v="1899-12-30T06:18:00"/>
    <n v="122"/>
    <x v="0"/>
    <x v="12"/>
    <x v="1"/>
    <n v="3"/>
    <n v="50"/>
    <n v="20.5"/>
    <n v="150"/>
    <x v="0"/>
    <n v="10"/>
    <x v="5"/>
    <n v="31"/>
    <x v="1"/>
    <n v="4"/>
    <n v="129.5"/>
    <n v="0.86333333300000004"/>
    <n v="1"/>
    <x v="0"/>
  </r>
  <r>
    <n v="1064"/>
    <d v="2022-04-14T00:00:00"/>
    <d v="1899-12-30T10:38:00"/>
    <n v="49"/>
    <x v="0"/>
    <x v="28"/>
    <x v="0"/>
    <n v="4"/>
    <n v="25"/>
    <n v="13.75"/>
    <n v="100"/>
    <x v="0"/>
    <n v="4"/>
    <x v="6"/>
    <n v="14"/>
    <x v="2"/>
    <n v="2"/>
    <n v="86.25"/>
    <n v="0.86250000000000004"/>
    <n v="0"/>
    <x v="3"/>
  </r>
  <r>
    <n v="1592"/>
    <d v="2022-03-16T00:00:00"/>
    <d v="1899-12-30T09:08:00"/>
    <n v="81"/>
    <x v="1"/>
    <x v="1"/>
    <x v="1"/>
    <n v="4"/>
    <n v="500"/>
    <n v="155"/>
    <n v="2000"/>
    <x v="0"/>
    <n v="3"/>
    <x v="8"/>
    <n v="16"/>
    <x v="4"/>
    <n v="1"/>
    <n v="1845"/>
    <n v="0.92249999999999999"/>
    <n v="1"/>
    <x v="2"/>
  </r>
  <r>
    <n v="1912"/>
    <d v="2022-05-27T00:00:00"/>
    <d v="1899-12-30T07:40:00"/>
    <n v="146"/>
    <x v="0"/>
    <x v="12"/>
    <x v="1"/>
    <n v="3"/>
    <n v="50"/>
    <n v="22"/>
    <n v="150"/>
    <x v="0"/>
    <n v="5"/>
    <x v="7"/>
    <n v="27"/>
    <x v="3"/>
    <n v="2"/>
    <n v="128"/>
    <n v="0.85333333300000003"/>
    <n v="1"/>
    <x v="3"/>
  </r>
  <r>
    <n v="134"/>
    <d v="2022-08-25T00:00:00"/>
    <d v="1899-12-30T09:03:00"/>
    <n v="132"/>
    <x v="0"/>
    <x v="28"/>
    <x v="2"/>
    <n v="1"/>
    <n v="50"/>
    <n v="16"/>
    <n v="50"/>
    <x v="0"/>
    <n v="8"/>
    <x v="4"/>
    <n v="25"/>
    <x v="2"/>
    <n v="3"/>
    <n v="34"/>
    <n v="0.68"/>
    <n v="0"/>
    <x v="1"/>
  </r>
  <r>
    <n v="1134"/>
    <d v="2022-08-05T00:00:00"/>
    <d v="1899-12-30T09:04:00"/>
    <n v="106"/>
    <x v="0"/>
    <x v="28"/>
    <x v="2"/>
    <n v="1"/>
    <n v="50"/>
    <n v="24"/>
    <n v="50"/>
    <x v="0"/>
    <n v="8"/>
    <x v="4"/>
    <n v="5"/>
    <x v="3"/>
    <n v="3"/>
    <n v="26"/>
    <n v="0.52"/>
    <n v="0"/>
    <x v="1"/>
  </r>
  <r>
    <n v="288"/>
    <d v="2022-05-02T00:00:00"/>
    <d v="1899-12-30T09:59:00"/>
    <n v="27"/>
    <x v="0"/>
    <x v="32"/>
    <x v="0"/>
    <n v="4"/>
    <n v="30"/>
    <n v="12"/>
    <n v="120"/>
    <x v="0"/>
    <n v="5"/>
    <x v="7"/>
    <n v="2"/>
    <x v="1"/>
    <n v="2"/>
    <n v="108"/>
    <n v="0.9"/>
    <n v="0"/>
    <x v="3"/>
  </r>
  <r>
    <n v="323"/>
    <d v="2022-01-21T00:00:00"/>
    <d v="1899-12-30T08:22:00"/>
    <n v="97"/>
    <x v="1"/>
    <x v="33"/>
    <x v="1"/>
    <n v="3"/>
    <n v="300"/>
    <n v="150"/>
    <n v="900"/>
    <x v="0"/>
    <n v="1"/>
    <x v="3"/>
    <n v="21"/>
    <x v="3"/>
    <n v="1"/>
    <n v="750"/>
    <n v="0.83333333300000001"/>
    <n v="1"/>
    <x v="2"/>
  </r>
  <r>
    <n v="618"/>
    <d v="2022-10-13T00:00:00"/>
    <d v="1899-12-30T10:22:00"/>
    <n v="5"/>
    <x v="1"/>
    <x v="17"/>
    <x v="1"/>
    <n v="1"/>
    <n v="50"/>
    <n v="26"/>
    <n v="50"/>
    <x v="0"/>
    <n v="10"/>
    <x v="5"/>
    <n v="13"/>
    <x v="2"/>
    <n v="4"/>
    <n v="24"/>
    <n v="0.48"/>
    <n v="0"/>
    <x v="0"/>
  </r>
  <r>
    <n v="720"/>
    <d v="2022-04-08T00:00:00"/>
    <d v="1899-12-30T08:50:00"/>
    <n v="116"/>
    <x v="1"/>
    <x v="34"/>
    <x v="1"/>
    <n v="3"/>
    <n v="500"/>
    <n v="235"/>
    <n v="1500"/>
    <x v="0"/>
    <n v="4"/>
    <x v="6"/>
    <n v="8"/>
    <x v="3"/>
    <n v="2"/>
    <n v="1265"/>
    <n v="0.84333333300000002"/>
    <n v="1"/>
    <x v="3"/>
  </r>
  <r>
    <n v="1288"/>
    <d v="2022-04-05T00:00:00"/>
    <d v="1899-12-30T11:56:00"/>
    <n v="26"/>
    <x v="0"/>
    <x v="32"/>
    <x v="0"/>
    <n v="4"/>
    <n v="30"/>
    <n v="9"/>
    <n v="120"/>
    <x v="0"/>
    <n v="4"/>
    <x v="6"/>
    <n v="5"/>
    <x v="6"/>
    <n v="2"/>
    <n v="111"/>
    <n v="0.92500000000000004"/>
    <n v="0"/>
    <x v="3"/>
  </r>
  <r>
    <n v="1323"/>
    <d v="2022-08-15T00:00:00"/>
    <d v="1899-12-30T10:49:00"/>
    <n v="136"/>
    <x v="1"/>
    <x v="33"/>
    <x v="1"/>
    <n v="3"/>
    <n v="300"/>
    <n v="114"/>
    <n v="900"/>
    <x v="0"/>
    <n v="8"/>
    <x v="4"/>
    <n v="15"/>
    <x v="1"/>
    <n v="3"/>
    <n v="786"/>
    <n v="0.87333333300000004"/>
    <n v="1"/>
    <x v="1"/>
  </r>
  <r>
    <n v="1618"/>
    <d v="2022-09-15T00:00:00"/>
    <d v="1899-12-30T06:27:00"/>
    <n v="118"/>
    <x v="1"/>
    <x v="17"/>
    <x v="1"/>
    <n v="1"/>
    <n v="50"/>
    <n v="13.5"/>
    <n v="50"/>
    <x v="0"/>
    <n v="9"/>
    <x v="9"/>
    <n v="15"/>
    <x v="2"/>
    <n v="3"/>
    <n v="36.5"/>
    <n v="0.73"/>
    <n v="0"/>
    <x v="1"/>
  </r>
  <r>
    <n v="1720"/>
    <d v="2022-10-10T00:00:00"/>
    <d v="1899-12-30T08:51:00"/>
    <n v="28"/>
    <x v="1"/>
    <x v="34"/>
    <x v="1"/>
    <n v="3"/>
    <n v="500"/>
    <n v="190"/>
    <n v="1500"/>
    <x v="0"/>
    <n v="10"/>
    <x v="5"/>
    <n v="10"/>
    <x v="1"/>
    <n v="4"/>
    <n v="1310"/>
    <n v="0.87333333300000004"/>
    <n v="1"/>
    <x v="0"/>
  </r>
  <r>
    <n v="415"/>
    <d v="2022-01-05T00:00:00"/>
    <d v="1899-12-30T09:59:00"/>
    <n v="85"/>
    <x v="0"/>
    <x v="21"/>
    <x v="0"/>
    <n v="2"/>
    <n v="30"/>
    <n v="8.1"/>
    <n v="60"/>
    <x v="0"/>
    <n v="1"/>
    <x v="3"/>
    <n v="5"/>
    <x v="4"/>
    <n v="1"/>
    <n v="51.9"/>
    <n v="0.86499999999999999"/>
    <n v="0"/>
    <x v="2"/>
  </r>
  <r>
    <n v="736"/>
    <d v="2022-12-18T00:00:00"/>
    <d v="1899-12-30T08:30:00"/>
    <n v="97"/>
    <x v="0"/>
    <x v="33"/>
    <x v="0"/>
    <n v="4"/>
    <n v="25"/>
    <n v="9.75"/>
    <n v="100"/>
    <x v="0"/>
    <n v="12"/>
    <x v="2"/>
    <n v="18"/>
    <x v="5"/>
    <n v="4"/>
    <n v="90.25"/>
    <n v="0.90249999999999997"/>
    <n v="0"/>
    <x v="0"/>
  </r>
  <r>
    <n v="929"/>
    <d v="2022-03-11T00:00:00"/>
    <d v="1899-12-30T10:18:00"/>
    <n v="40"/>
    <x v="1"/>
    <x v="8"/>
    <x v="1"/>
    <n v="3"/>
    <n v="25"/>
    <n v="10.5"/>
    <n v="75"/>
    <x v="0"/>
    <n v="3"/>
    <x v="8"/>
    <n v="11"/>
    <x v="3"/>
    <n v="1"/>
    <n v="64.5"/>
    <n v="0.86"/>
    <n v="0"/>
    <x v="2"/>
  </r>
  <r>
    <n v="1415"/>
    <d v="2022-03-06T00:00:00"/>
    <d v="1899-12-30T07:11:00"/>
    <n v="146"/>
    <x v="0"/>
    <x v="21"/>
    <x v="0"/>
    <n v="2"/>
    <n v="30"/>
    <n v="15.3"/>
    <n v="60"/>
    <x v="0"/>
    <n v="3"/>
    <x v="8"/>
    <n v="6"/>
    <x v="5"/>
    <n v="1"/>
    <n v="44.7"/>
    <n v="0.745"/>
    <n v="0"/>
    <x v="2"/>
  </r>
  <r>
    <n v="1736"/>
    <d v="2022-08-28T00:00:00"/>
    <d v="1899-12-30T08:57:00"/>
    <n v="87"/>
    <x v="0"/>
    <x v="33"/>
    <x v="0"/>
    <n v="4"/>
    <n v="25"/>
    <n v="10.25"/>
    <n v="100"/>
    <x v="0"/>
    <n v="8"/>
    <x v="4"/>
    <n v="28"/>
    <x v="5"/>
    <n v="3"/>
    <n v="89.75"/>
    <n v="0.89749999999999996"/>
    <n v="0"/>
    <x v="1"/>
  </r>
  <r>
    <n v="1929"/>
    <d v="2022-09-15T00:00:00"/>
    <d v="1899-12-30T06:50:00"/>
    <n v="62"/>
    <x v="1"/>
    <x v="8"/>
    <x v="1"/>
    <n v="3"/>
    <n v="25"/>
    <n v="12.75"/>
    <n v="75"/>
    <x v="0"/>
    <n v="9"/>
    <x v="9"/>
    <n v="15"/>
    <x v="2"/>
    <n v="3"/>
    <n v="62.25"/>
    <n v="0.83"/>
    <n v="0"/>
    <x v="1"/>
  </r>
  <r>
    <n v="264"/>
    <d v="2022-12-26T00:00:00"/>
    <d v="1899-12-30T11:03:00"/>
    <n v="111"/>
    <x v="0"/>
    <x v="35"/>
    <x v="0"/>
    <n v="3"/>
    <n v="300"/>
    <n v="150"/>
    <n v="900"/>
    <x v="0"/>
    <n v="12"/>
    <x v="2"/>
    <n v="26"/>
    <x v="1"/>
    <n v="4"/>
    <n v="750"/>
    <n v="0.83333333300000001"/>
    <n v="1"/>
    <x v="0"/>
  </r>
  <r>
    <n v="913"/>
    <d v="2022-10-12T00:00:00"/>
    <d v="1899-12-30T10:52:00"/>
    <n v="78"/>
    <x v="0"/>
    <x v="33"/>
    <x v="2"/>
    <n v="3"/>
    <n v="30"/>
    <n v="16.5"/>
    <n v="90"/>
    <x v="0"/>
    <n v="10"/>
    <x v="5"/>
    <n v="12"/>
    <x v="4"/>
    <n v="4"/>
    <n v="73.5"/>
    <n v="0.81666666700000001"/>
    <n v="0"/>
    <x v="0"/>
  </r>
  <r>
    <n v="940"/>
    <d v="2022-01-05T00:00:00"/>
    <d v="1899-12-30T08:11:00"/>
    <n v="46"/>
    <x v="1"/>
    <x v="36"/>
    <x v="2"/>
    <n v="1"/>
    <n v="30"/>
    <n v="9.6"/>
    <n v="30"/>
    <x v="0"/>
    <n v="1"/>
    <x v="3"/>
    <n v="5"/>
    <x v="4"/>
    <n v="1"/>
    <n v="20.399999999999999"/>
    <n v="0.68"/>
    <n v="0"/>
    <x v="2"/>
  </r>
  <r>
    <n v="1264"/>
    <d v="2022-05-27T00:00:00"/>
    <d v="1899-12-30T09:23:00"/>
    <n v="82"/>
    <x v="0"/>
    <x v="35"/>
    <x v="0"/>
    <n v="3"/>
    <n v="300"/>
    <n v="123"/>
    <n v="900"/>
    <x v="0"/>
    <n v="5"/>
    <x v="7"/>
    <n v="27"/>
    <x v="3"/>
    <n v="2"/>
    <n v="777"/>
    <n v="0.86333333300000004"/>
    <n v="1"/>
    <x v="3"/>
  </r>
  <r>
    <n v="1913"/>
    <d v="2022-06-23T00:00:00"/>
    <d v="1899-12-30T07:10:00"/>
    <n v="101"/>
    <x v="0"/>
    <x v="33"/>
    <x v="2"/>
    <n v="3"/>
    <n v="30"/>
    <n v="14.1"/>
    <n v="90"/>
    <x v="0"/>
    <n v="6"/>
    <x v="11"/>
    <n v="23"/>
    <x v="2"/>
    <n v="2"/>
    <n v="75.900000000000006"/>
    <n v="0.84333333300000002"/>
    <n v="0"/>
    <x v="3"/>
  </r>
  <r>
    <n v="1940"/>
    <d v="2022-06-15T00:00:00"/>
    <d v="1899-12-30T09:47:00"/>
    <n v="56"/>
    <x v="1"/>
    <x v="36"/>
    <x v="2"/>
    <n v="1"/>
    <n v="30"/>
    <n v="11.1"/>
    <n v="30"/>
    <x v="0"/>
    <n v="6"/>
    <x v="11"/>
    <n v="15"/>
    <x v="4"/>
    <n v="2"/>
    <n v="18.899999999999999"/>
    <n v="0.63"/>
    <n v="0"/>
    <x v="3"/>
  </r>
  <r>
    <n v="101"/>
    <d v="2022-01-08T00:00:00"/>
    <d v="1899-12-30T08:46:00"/>
    <n v="24"/>
    <x v="0"/>
    <x v="37"/>
    <x v="0"/>
    <n v="2"/>
    <n v="300"/>
    <n v="135"/>
    <n v="600"/>
    <x v="0"/>
    <n v="1"/>
    <x v="3"/>
    <n v="8"/>
    <x v="0"/>
    <n v="1"/>
    <n v="465"/>
    <n v="0.77500000000000002"/>
    <n v="1"/>
    <x v="2"/>
  </r>
  <r>
    <n v="1101"/>
    <d v="2022-05-17T00:00:00"/>
    <d v="1899-12-30T07:47:00"/>
    <n v="15"/>
    <x v="0"/>
    <x v="37"/>
    <x v="0"/>
    <n v="2"/>
    <n v="300"/>
    <n v="132"/>
    <n v="600"/>
    <x v="0"/>
    <n v="5"/>
    <x v="7"/>
    <n v="17"/>
    <x v="6"/>
    <n v="2"/>
    <n v="468"/>
    <n v="0.78"/>
    <n v="1"/>
    <x v="3"/>
  </r>
  <r>
    <n v="189"/>
    <d v="2022-01-02T00:00:00"/>
    <d v="1899-12-30T09:44:00"/>
    <n v="143"/>
    <x v="0"/>
    <x v="15"/>
    <x v="1"/>
    <n v="1"/>
    <n v="50"/>
    <n v="14.5"/>
    <n v="50"/>
    <x v="0"/>
    <n v="1"/>
    <x v="3"/>
    <n v="2"/>
    <x v="5"/>
    <n v="1"/>
    <n v="35.5"/>
    <n v="0.71"/>
    <n v="0"/>
    <x v="2"/>
  </r>
  <r>
    <n v="317"/>
    <d v="2022-05-04T00:00:00"/>
    <d v="1899-12-30T07:54:00"/>
    <n v="117"/>
    <x v="0"/>
    <x v="30"/>
    <x v="2"/>
    <n v="3"/>
    <n v="30"/>
    <n v="12"/>
    <n v="90"/>
    <x v="0"/>
    <n v="5"/>
    <x v="7"/>
    <n v="4"/>
    <x v="4"/>
    <n v="2"/>
    <n v="78"/>
    <n v="0.86666666699999995"/>
    <n v="0"/>
    <x v="3"/>
  </r>
  <r>
    <n v="322"/>
    <d v="2022-10-19T00:00:00"/>
    <d v="1899-12-30T06:11:00"/>
    <n v="13"/>
    <x v="0"/>
    <x v="12"/>
    <x v="2"/>
    <n v="1"/>
    <n v="500"/>
    <n v="125"/>
    <n v="500"/>
    <x v="0"/>
    <n v="10"/>
    <x v="5"/>
    <n v="19"/>
    <x v="4"/>
    <n v="4"/>
    <n v="375"/>
    <n v="0.75"/>
    <n v="1"/>
    <x v="0"/>
  </r>
  <r>
    <n v="329"/>
    <d v="2022-10-27T00:00:00"/>
    <d v="1899-12-30T07:42:00"/>
    <n v="52"/>
    <x v="1"/>
    <x v="1"/>
    <x v="2"/>
    <n v="4"/>
    <n v="25"/>
    <n v="8"/>
    <n v="100"/>
    <x v="0"/>
    <n v="10"/>
    <x v="5"/>
    <n v="27"/>
    <x v="2"/>
    <n v="4"/>
    <n v="92"/>
    <n v="0.92"/>
    <n v="0"/>
    <x v="0"/>
  </r>
  <r>
    <n v="1189"/>
    <d v="2022-12-07T00:00:00"/>
    <d v="1899-12-30T06:08:00"/>
    <n v="104"/>
    <x v="0"/>
    <x v="15"/>
    <x v="1"/>
    <n v="1"/>
    <n v="50"/>
    <n v="20.5"/>
    <n v="50"/>
    <x v="0"/>
    <n v="12"/>
    <x v="2"/>
    <n v="7"/>
    <x v="4"/>
    <n v="4"/>
    <n v="29.5"/>
    <n v="0.59"/>
    <n v="0"/>
    <x v="0"/>
  </r>
  <r>
    <n v="1317"/>
    <d v="2022-08-25T00:00:00"/>
    <d v="1899-12-30T08:02:00"/>
    <n v="144"/>
    <x v="0"/>
    <x v="30"/>
    <x v="2"/>
    <n v="3"/>
    <n v="30"/>
    <n v="12"/>
    <n v="90"/>
    <x v="0"/>
    <n v="8"/>
    <x v="4"/>
    <n v="25"/>
    <x v="2"/>
    <n v="3"/>
    <n v="78"/>
    <n v="0.86666666699999995"/>
    <n v="0"/>
    <x v="1"/>
  </r>
  <r>
    <n v="1322"/>
    <d v="2022-11-14T00:00:00"/>
    <d v="1899-12-30T09:56:00"/>
    <n v="10"/>
    <x v="0"/>
    <x v="12"/>
    <x v="2"/>
    <n v="1"/>
    <n v="500"/>
    <n v="250"/>
    <n v="500"/>
    <x v="0"/>
    <n v="11"/>
    <x v="0"/>
    <n v="14"/>
    <x v="1"/>
    <n v="4"/>
    <n v="250"/>
    <n v="0.5"/>
    <n v="1"/>
    <x v="0"/>
  </r>
  <r>
    <n v="1329"/>
    <d v="2022-01-27T00:00:00"/>
    <d v="1899-12-30T10:39:00"/>
    <n v="119"/>
    <x v="1"/>
    <x v="1"/>
    <x v="2"/>
    <n v="4"/>
    <n v="25"/>
    <n v="9.25"/>
    <n v="100"/>
    <x v="0"/>
    <n v="1"/>
    <x v="3"/>
    <n v="27"/>
    <x v="2"/>
    <n v="1"/>
    <n v="90.75"/>
    <n v="0.90749999999999997"/>
    <n v="0"/>
    <x v="2"/>
  </r>
  <r>
    <n v="235"/>
    <d v="2022-03-10T00:00:00"/>
    <d v="1899-12-30T10:13:00"/>
    <n v="132"/>
    <x v="1"/>
    <x v="8"/>
    <x v="2"/>
    <n v="2"/>
    <n v="500"/>
    <n v="275"/>
    <n v="1000"/>
    <x v="0"/>
    <n v="3"/>
    <x v="8"/>
    <n v="10"/>
    <x v="2"/>
    <n v="1"/>
    <n v="725"/>
    <n v="0.72499999999999998"/>
    <n v="1"/>
    <x v="2"/>
  </r>
  <r>
    <n v="300"/>
    <d v="2022-01-08T00:00:00"/>
    <d v="1899-12-30T09:41:00"/>
    <n v="138"/>
    <x v="1"/>
    <x v="4"/>
    <x v="2"/>
    <n v="4"/>
    <n v="50"/>
    <n v="26.5"/>
    <n v="200"/>
    <x v="0"/>
    <n v="1"/>
    <x v="3"/>
    <n v="8"/>
    <x v="0"/>
    <n v="1"/>
    <n v="173.5"/>
    <n v="0.86750000000000005"/>
    <n v="1"/>
    <x v="2"/>
  </r>
  <r>
    <n v="964"/>
    <d v="2022-08-26T00:00:00"/>
    <d v="1899-12-30T08:18:00"/>
    <n v="15"/>
    <x v="0"/>
    <x v="24"/>
    <x v="0"/>
    <n v="3"/>
    <n v="300"/>
    <n v="156"/>
    <n v="900"/>
    <x v="0"/>
    <n v="8"/>
    <x v="4"/>
    <n v="26"/>
    <x v="3"/>
    <n v="3"/>
    <n v="744"/>
    <n v="0.82666666700000002"/>
    <n v="1"/>
    <x v="1"/>
  </r>
  <r>
    <n v="1235"/>
    <d v="2022-04-04T00:00:00"/>
    <d v="1899-12-30T06:44:00"/>
    <n v="87"/>
    <x v="1"/>
    <x v="8"/>
    <x v="2"/>
    <n v="2"/>
    <n v="500"/>
    <n v="220"/>
    <n v="1000"/>
    <x v="0"/>
    <n v="4"/>
    <x v="6"/>
    <n v="4"/>
    <x v="1"/>
    <n v="2"/>
    <n v="780"/>
    <n v="0.78"/>
    <n v="1"/>
    <x v="3"/>
  </r>
  <r>
    <n v="1300"/>
    <d v="2022-08-08T00:00:00"/>
    <d v="1899-12-30T08:57:00"/>
    <n v="7"/>
    <x v="1"/>
    <x v="4"/>
    <x v="2"/>
    <n v="4"/>
    <n v="50"/>
    <n v="24"/>
    <n v="200"/>
    <x v="0"/>
    <n v="8"/>
    <x v="4"/>
    <n v="8"/>
    <x v="1"/>
    <n v="3"/>
    <n v="176"/>
    <n v="0.88"/>
    <n v="1"/>
    <x v="1"/>
  </r>
  <r>
    <n v="1964"/>
    <d v="2022-08-02T00:00:00"/>
    <d v="1899-12-30T08:27:00"/>
    <n v="115"/>
    <x v="0"/>
    <x v="24"/>
    <x v="0"/>
    <n v="3"/>
    <n v="300"/>
    <n v="111"/>
    <n v="900"/>
    <x v="0"/>
    <n v="8"/>
    <x v="4"/>
    <n v="2"/>
    <x v="6"/>
    <n v="3"/>
    <n v="789"/>
    <n v="0.87666666699999996"/>
    <n v="1"/>
    <x v="1"/>
  </r>
  <r>
    <n v="269"/>
    <d v="2022-09-19T00:00:00"/>
    <d v="1899-12-30T11:31:00"/>
    <n v="87"/>
    <x v="0"/>
    <x v="38"/>
    <x v="0"/>
    <n v="4"/>
    <n v="500"/>
    <n v="250"/>
    <n v="2000"/>
    <x v="0"/>
    <n v="9"/>
    <x v="9"/>
    <n v="19"/>
    <x v="1"/>
    <n v="3"/>
    <n v="1750"/>
    <n v="0.875"/>
    <n v="1"/>
    <x v="1"/>
  </r>
  <r>
    <n v="320"/>
    <d v="2022-04-20T00:00:00"/>
    <d v="1899-12-30T08:35:00"/>
    <n v="57"/>
    <x v="1"/>
    <x v="32"/>
    <x v="2"/>
    <n v="4"/>
    <n v="300"/>
    <n v="159"/>
    <n v="1200"/>
    <x v="0"/>
    <n v="4"/>
    <x v="6"/>
    <n v="20"/>
    <x v="4"/>
    <n v="2"/>
    <n v="1041"/>
    <n v="0.86750000000000005"/>
    <n v="1"/>
    <x v="3"/>
  </r>
  <r>
    <n v="673"/>
    <d v="2022-07-04T00:00:00"/>
    <d v="1899-12-30T10:14:00"/>
    <n v="18"/>
    <x v="1"/>
    <x v="22"/>
    <x v="0"/>
    <n v="3"/>
    <n v="500"/>
    <n v="270"/>
    <n v="1500"/>
    <x v="0"/>
    <n v="7"/>
    <x v="1"/>
    <n v="4"/>
    <x v="1"/>
    <n v="3"/>
    <n v="1230"/>
    <n v="0.82"/>
    <n v="1"/>
    <x v="1"/>
  </r>
  <r>
    <n v="1269"/>
    <d v="2022-01-01T00:00:00"/>
    <d v="1899-12-30T08:09:00"/>
    <n v="71"/>
    <x v="0"/>
    <x v="38"/>
    <x v="0"/>
    <n v="4"/>
    <n v="500"/>
    <n v="145"/>
    <n v="2000"/>
    <x v="0"/>
    <n v="1"/>
    <x v="3"/>
    <n v="1"/>
    <x v="0"/>
    <n v="1"/>
    <n v="1855"/>
    <n v="0.92749999999999999"/>
    <n v="1"/>
    <x v="2"/>
  </r>
  <r>
    <n v="1320"/>
    <d v="2022-11-02T00:00:00"/>
    <d v="1899-12-30T11:55:00"/>
    <n v="102"/>
    <x v="1"/>
    <x v="32"/>
    <x v="2"/>
    <n v="4"/>
    <n v="300"/>
    <n v="84"/>
    <n v="1200"/>
    <x v="0"/>
    <n v="11"/>
    <x v="0"/>
    <n v="2"/>
    <x v="4"/>
    <n v="4"/>
    <n v="1116"/>
    <n v="0.93"/>
    <n v="1"/>
    <x v="0"/>
  </r>
  <r>
    <n v="1673"/>
    <d v="2022-06-14T00:00:00"/>
    <d v="1899-12-30T07:36:00"/>
    <n v="42"/>
    <x v="1"/>
    <x v="22"/>
    <x v="0"/>
    <n v="3"/>
    <n v="500"/>
    <n v="185"/>
    <n v="1500"/>
    <x v="0"/>
    <n v="6"/>
    <x v="11"/>
    <n v="14"/>
    <x v="6"/>
    <n v="2"/>
    <n v="1315"/>
    <n v="0.87666666699999996"/>
    <n v="1"/>
    <x v="3"/>
  </r>
  <r>
    <n v="142"/>
    <d v="2022-04-08T00:00:00"/>
    <d v="1899-12-30T10:05:00"/>
    <n v="61"/>
    <x v="0"/>
    <x v="39"/>
    <x v="2"/>
    <n v="4"/>
    <n v="300"/>
    <n v="138"/>
    <n v="1200"/>
    <x v="0"/>
    <n v="4"/>
    <x v="6"/>
    <n v="8"/>
    <x v="3"/>
    <n v="2"/>
    <n v="1062"/>
    <n v="0.88500000000000001"/>
    <n v="1"/>
    <x v="3"/>
  </r>
  <r>
    <n v="223"/>
    <d v="2022-01-15T00:00:00"/>
    <d v="1899-12-30T11:18:00"/>
    <n v="61"/>
    <x v="1"/>
    <x v="3"/>
    <x v="0"/>
    <n v="1"/>
    <n v="25"/>
    <n v="12"/>
    <n v="25"/>
    <x v="0"/>
    <n v="1"/>
    <x v="3"/>
    <n v="15"/>
    <x v="0"/>
    <n v="1"/>
    <n v="13"/>
    <n v="0.52"/>
    <n v="0"/>
    <x v="2"/>
  </r>
  <r>
    <n v="666"/>
    <d v="2022-03-03T00:00:00"/>
    <d v="1899-12-30T10:59:00"/>
    <n v="49"/>
    <x v="0"/>
    <x v="12"/>
    <x v="2"/>
    <n v="3"/>
    <n v="50"/>
    <n v="16"/>
    <n v="150"/>
    <x v="0"/>
    <n v="3"/>
    <x v="8"/>
    <n v="3"/>
    <x v="2"/>
    <n v="1"/>
    <n v="134"/>
    <n v="0.89333333299999995"/>
    <n v="1"/>
    <x v="2"/>
  </r>
  <r>
    <n v="1142"/>
    <d v="2022-11-09T00:00:00"/>
    <d v="1899-12-30T09:49:00"/>
    <n v="2"/>
    <x v="0"/>
    <x v="39"/>
    <x v="2"/>
    <n v="4"/>
    <n v="300"/>
    <n v="114"/>
    <n v="1200"/>
    <x v="0"/>
    <n v="11"/>
    <x v="0"/>
    <n v="9"/>
    <x v="4"/>
    <n v="4"/>
    <n v="1086"/>
    <n v="0.90500000000000003"/>
    <n v="1"/>
    <x v="0"/>
  </r>
  <r>
    <n v="1223"/>
    <d v="2022-02-20T00:00:00"/>
    <d v="1899-12-30T07:40:00"/>
    <n v="106"/>
    <x v="1"/>
    <x v="3"/>
    <x v="0"/>
    <n v="1"/>
    <n v="25"/>
    <n v="9.75"/>
    <n v="25"/>
    <x v="0"/>
    <n v="2"/>
    <x v="10"/>
    <n v="20"/>
    <x v="5"/>
    <n v="1"/>
    <n v="15.25"/>
    <n v="0.61"/>
    <n v="0"/>
    <x v="2"/>
  </r>
  <r>
    <n v="1666"/>
    <d v="2022-12-08T00:00:00"/>
    <d v="1899-12-30T10:10:00"/>
    <n v="125"/>
    <x v="0"/>
    <x v="12"/>
    <x v="2"/>
    <n v="3"/>
    <n v="50"/>
    <n v="21"/>
    <n v="150"/>
    <x v="0"/>
    <n v="12"/>
    <x v="2"/>
    <n v="8"/>
    <x v="2"/>
    <n v="4"/>
    <n v="129"/>
    <n v="0.86"/>
    <n v="1"/>
    <x v="0"/>
  </r>
  <r>
    <n v="107"/>
    <d v="2022-10-06T00:00:00"/>
    <d v="1899-12-30T09:18:00"/>
    <n v="75"/>
    <x v="1"/>
    <x v="40"/>
    <x v="0"/>
    <n v="4"/>
    <n v="300"/>
    <n v="78"/>
    <n v="1200"/>
    <x v="0"/>
    <n v="10"/>
    <x v="5"/>
    <n v="6"/>
    <x v="2"/>
    <n v="4"/>
    <n v="1122"/>
    <n v="0.93500000000000005"/>
    <n v="1"/>
    <x v="0"/>
  </r>
  <r>
    <n v="933"/>
    <d v="2022-09-19T00:00:00"/>
    <d v="1899-12-30T07:53:00"/>
    <n v="81"/>
    <x v="0"/>
    <x v="30"/>
    <x v="1"/>
    <n v="1"/>
    <n v="30"/>
    <n v="12.9"/>
    <n v="30"/>
    <x v="0"/>
    <n v="9"/>
    <x v="9"/>
    <n v="19"/>
    <x v="1"/>
    <n v="3"/>
    <n v="17.100000000000001"/>
    <n v="0.56999999999999995"/>
    <n v="0"/>
    <x v="1"/>
  </r>
  <r>
    <n v="1107"/>
    <d v="2022-12-31T00:00:00"/>
    <d v="1899-12-30T11:14:00"/>
    <n v="62"/>
    <x v="1"/>
    <x v="40"/>
    <x v="0"/>
    <n v="4"/>
    <n v="300"/>
    <n v="102"/>
    <n v="1200"/>
    <x v="0"/>
    <n v="12"/>
    <x v="2"/>
    <n v="31"/>
    <x v="0"/>
    <n v="4"/>
    <n v="1098"/>
    <n v="0.91500000000000004"/>
    <n v="1"/>
    <x v="0"/>
  </r>
  <r>
    <n v="1933"/>
    <d v="2022-01-12T00:00:00"/>
    <d v="1899-12-30T11:04:00"/>
    <n v="121"/>
    <x v="0"/>
    <x v="30"/>
    <x v="1"/>
    <n v="1"/>
    <n v="30"/>
    <n v="14.4"/>
    <n v="30"/>
    <x v="0"/>
    <n v="1"/>
    <x v="3"/>
    <n v="12"/>
    <x v="4"/>
    <n v="1"/>
    <n v="15.6"/>
    <n v="0.52"/>
    <n v="0"/>
    <x v="2"/>
  </r>
  <r>
    <n v="237"/>
    <d v="2022-04-11T00:00:00"/>
    <d v="1899-12-30T08:54:00"/>
    <n v="105"/>
    <x v="1"/>
    <x v="20"/>
    <x v="1"/>
    <n v="2"/>
    <n v="500"/>
    <n v="165"/>
    <n v="1000"/>
    <x v="0"/>
    <n v="4"/>
    <x v="6"/>
    <n v="11"/>
    <x v="1"/>
    <n v="2"/>
    <n v="835"/>
    <n v="0.83499999999999996"/>
    <n v="1"/>
    <x v="3"/>
  </r>
  <r>
    <n v="335"/>
    <d v="2022-02-02T00:00:00"/>
    <d v="1899-12-30T09:23:00"/>
    <n v="2"/>
    <x v="1"/>
    <x v="35"/>
    <x v="1"/>
    <n v="4"/>
    <n v="30"/>
    <n v="10.8"/>
    <n v="120"/>
    <x v="0"/>
    <n v="2"/>
    <x v="10"/>
    <n v="2"/>
    <x v="4"/>
    <n v="1"/>
    <n v="109.2"/>
    <n v="0.91"/>
    <n v="0"/>
    <x v="2"/>
  </r>
  <r>
    <n v="1237"/>
    <d v="2022-02-23T00:00:00"/>
    <d v="1899-12-30T09:20:00"/>
    <n v="48"/>
    <x v="1"/>
    <x v="20"/>
    <x v="1"/>
    <n v="2"/>
    <n v="500"/>
    <n v="215"/>
    <n v="1000"/>
    <x v="0"/>
    <n v="2"/>
    <x v="10"/>
    <n v="23"/>
    <x v="4"/>
    <n v="1"/>
    <n v="785"/>
    <n v="0.78500000000000003"/>
    <n v="1"/>
    <x v="2"/>
  </r>
  <r>
    <n v="1335"/>
    <d v="2022-05-27T00:00:00"/>
    <d v="1899-12-30T08:45:00"/>
    <n v="117"/>
    <x v="1"/>
    <x v="35"/>
    <x v="1"/>
    <n v="4"/>
    <n v="30"/>
    <n v="8.6999999999999993"/>
    <n v="120"/>
    <x v="0"/>
    <n v="5"/>
    <x v="7"/>
    <n v="27"/>
    <x v="3"/>
    <n v="2"/>
    <n v="111.3"/>
    <n v="0.92749999999999999"/>
    <n v="0"/>
    <x v="3"/>
  </r>
  <r>
    <n v="63"/>
    <d v="2022-02-03T00:00:00"/>
    <d v="1899-12-30T11:49:00"/>
    <n v="127"/>
    <x v="0"/>
    <x v="10"/>
    <x v="2"/>
    <n v="2"/>
    <n v="25"/>
    <n v="6.25"/>
    <n v="50"/>
    <x v="0"/>
    <n v="2"/>
    <x v="10"/>
    <n v="3"/>
    <x v="2"/>
    <n v="1"/>
    <n v="43.75"/>
    <n v="0.875"/>
    <n v="0"/>
    <x v="2"/>
  </r>
  <r>
    <n v="195"/>
    <d v="2022-08-14T00:00:00"/>
    <d v="1899-12-30T11:51:00"/>
    <n v="10"/>
    <x v="0"/>
    <x v="41"/>
    <x v="0"/>
    <n v="1"/>
    <n v="30"/>
    <n v="9.3000000000000007"/>
    <n v="30"/>
    <x v="0"/>
    <n v="8"/>
    <x v="4"/>
    <n v="14"/>
    <x v="5"/>
    <n v="3"/>
    <n v="20.7"/>
    <n v="0.69"/>
    <n v="0"/>
    <x v="1"/>
  </r>
  <r>
    <n v="333"/>
    <d v="2022-10-06T00:00:00"/>
    <d v="1899-12-30T08:15:00"/>
    <n v="21"/>
    <x v="1"/>
    <x v="29"/>
    <x v="2"/>
    <n v="4"/>
    <n v="300"/>
    <n v="99"/>
    <n v="1200"/>
    <x v="0"/>
    <n v="10"/>
    <x v="5"/>
    <n v="6"/>
    <x v="2"/>
    <n v="4"/>
    <n v="1101"/>
    <n v="0.91749999999999998"/>
    <n v="1"/>
    <x v="0"/>
  </r>
  <r>
    <n v="379"/>
    <d v="2022-06-01T00:00:00"/>
    <d v="1899-12-30T07:28:00"/>
    <n v="76"/>
    <x v="1"/>
    <x v="35"/>
    <x v="0"/>
    <n v="1"/>
    <n v="25"/>
    <n v="8.5"/>
    <n v="25"/>
    <x v="0"/>
    <n v="6"/>
    <x v="11"/>
    <n v="1"/>
    <x v="4"/>
    <n v="2"/>
    <n v="16.5"/>
    <n v="0.66"/>
    <n v="0"/>
    <x v="3"/>
  </r>
  <r>
    <n v="490"/>
    <d v="2022-01-27T00:00:00"/>
    <d v="1899-12-30T06:07:00"/>
    <n v="43"/>
    <x v="0"/>
    <x v="23"/>
    <x v="0"/>
    <n v="3"/>
    <n v="50"/>
    <n v="18.5"/>
    <n v="150"/>
    <x v="0"/>
    <n v="1"/>
    <x v="3"/>
    <n v="27"/>
    <x v="2"/>
    <n v="1"/>
    <n v="131.5"/>
    <n v="0.87666666699999996"/>
    <n v="1"/>
    <x v="2"/>
  </r>
  <r>
    <n v="530"/>
    <d v="2022-05-01T00:00:00"/>
    <d v="1899-12-30T07:52:00"/>
    <n v="8"/>
    <x v="1"/>
    <x v="18"/>
    <x v="2"/>
    <n v="4"/>
    <n v="30"/>
    <n v="9"/>
    <n v="120"/>
    <x v="0"/>
    <n v="5"/>
    <x v="7"/>
    <n v="1"/>
    <x v="5"/>
    <n v="2"/>
    <n v="111"/>
    <n v="0.92500000000000004"/>
    <n v="0"/>
    <x v="3"/>
  </r>
  <r>
    <n v="740"/>
    <d v="2022-12-01T00:00:00"/>
    <d v="1899-12-30T06:58:00"/>
    <n v="33"/>
    <x v="1"/>
    <x v="38"/>
    <x v="1"/>
    <n v="4"/>
    <n v="50"/>
    <n v="13"/>
    <n v="200"/>
    <x v="0"/>
    <n v="12"/>
    <x v="2"/>
    <n v="1"/>
    <x v="2"/>
    <n v="4"/>
    <n v="187"/>
    <n v="0.93500000000000005"/>
    <n v="1"/>
    <x v="0"/>
  </r>
  <r>
    <n v="793"/>
    <d v="2022-05-27T00:00:00"/>
    <d v="1899-12-30T10:53:00"/>
    <n v="1"/>
    <x v="0"/>
    <x v="29"/>
    <x v="1"/>
    <n v="1"/>
    <n v="30"/>
    <n v="14.7"/>
    <n v="30"/>
    <x v="0"/>
    <n v="5"/>
    <x v="7"/>
    <n v="27"/>
    <x v="3"/>
    <n v="2"/>
    <n v="15.3"/>
    <n v="0.51"/>
    <n v="0"/>
    <x v="3"/>
  </r>
  <r>
    <n v="1063"/>
    <d v="2022-08-04T00:00:00"/>
    <d v="1899-12-30T10:26:00"/>
    <n v="56"/>
    <x v="0"/>
    <x v="10"/>
    <x v="2"/>
    <n v="2"/>
    <n v="25"/>
    <n v="11"/>
    <n v="50"/>
    <x v="0"/>
    <n v="8"/>
    <x v="4"/>
    <n v="4"/>
    <x v="2"/>
    <n v="3"/>
    <n v="39"/>
    <n v="0.78"/>
    <n v="0"/>
    <x v="1"/>
  </r>
  <r>
    <n v="1195"/>
    <d v="2022-09-21T00:00:00"/>
    <d v="1899-12-30T07:07:00"/>
    <n v="55"/>
    <x v="0"/>
    <x v="41"/>
    <x v="0"/>
    <n v="1"/>
    <n v="30"/>
    <n v="12"/>
    <n v="30"/>
    <x v="0"/>
    <n v="9"/>
    <x v="9"/>
    <n v="21"/>
    <x v="4"/>
    <n v="3"/>
    <n v="18"/>
    <n v="0.6"/>
    <n v="0"/>
    <x v="1"/>
  </r>
  <r>
    <n v="1333"/>
    <d v="2022-11-01T00:00:00"/>
    <d v="1899-12-30T11:38:00"/>
    <n v="151"/>
    <x v="1"/>
    <x v="29"/>
    <x v="2"/>
    <n v="4"/>
    <n v="300"/>
    <n v="165"/>
    <n v="1200"/>
    <x v="0"/>
    <n v="11"/>
    <x v="0"/>
    <n v="1"/>
    <x v="6"/>
    <n v="4"/>
    <n v="1035"/>
    <n v="0.86250000000000004"/>
    <n v="1"/>
    <x v="0"/>
  </r>
  <r>
    <n v="1379"/>
    <d v="2022-01-02T00:00:00"/>
    <d v="1899-12-30T06:23:00"/>
    <n v="69"/>
    <x v="1"/>
    <x v="35"/>
    <x v="0"/>
    <n v="1"/>
    <n v="25"/>
    <n v="7.25"/>
    <n v="25"/>
    <x v="0"/>
    <n v="1"/>
    <x v="3"/>
    <n v="2"/>
    <x v="5"/>
    <n v="1"/>
    <n v="17.75"/>
    <n v="0.71"/>
    <n v="0"/>
    <x v="2"/>
  </r>
  <r>
    <n v="1490"/>
    <d v="2022-10-26T00:00:00"/>
    <d v="1899-12-30T07:15:00"/>
    <n v="155"/>
    <x v="0"/>
    <x v="23"/>
    <x v="0"/>
    <n v="3"/>
    <n v="50"/>
    <n v="17"/>
    <n v="150"/>
    <x v="0"/>
    <n v="10"/>
    <x v="5"/>
    <n v="26"/>
    <x v="4"/>
    <n v="4"/>
    <n v="133"/>
    <n v="0.88666666699999996"/>
    <n v="1"/>
    <x v="0"/>
  </r>
  <r>
    <n v="1530"/>
    <d v="2022-12-10T00:00:00"/>
    <d v="1899-12-30T08:17:00"/>
    <n v="93"/>
    <x v="1"/>
    <x v="18"/>
    <x v="2"/>
    <n v="4"/>
    <n v="30"/>
    <n v="12.3"/>
    <n v="120"/>
    <x v="0"/>
    <n v="12"/>
    <x v="2"/>
    <n v="10"/>
    <x v="0"/>
    <n v="4"/>
    <n v="107.7"/>
    <n v="0.89749999999999996"/>
    <n v="0"/>
    <x v="0"/>
  </r>
  <r>
    <n v="1740"/>
    <d v="2022-07-16T00:00:00"/>
    <d v="1899-12-30T06:01:00"/>
    <n v="66"/>
    <x v="1"/>
    <x v="38"/>
    <x v="1"/>
    <n v="4"/>
    <n v="50"/>
    <n v="27"/>
    <n v="200"/>
    <x v="0"/>
    <n v="7"/>
    <x v="1"/>
    <n v="16"/>
    <x v="0"/>
    <n v="3"/>
    <n v="173"/>
    <n v="0.86499999999999999"/>
    <n v="1"/>
    <x v="1"/>
  </r>
  <r>
    <n v="1793"/>
    <d v="2022-12-11T00:00:00"/>
    <d v="1899-12-30T06:05:00"/>
    <n v="88"/>
    <x v="0"/>
    <x v="29"/>
    <x v="1"/>
    <n v="1"/>
    <n v="30"/>
    <n v="10.8"/>
    <n v="30"/>
    <x v="0"/>
    <n v="12"/>
    <x v="2"/>
    <n v="11"/>
    <x v="5"/>
    <n v="4"/>
    <n v="19.2"/>
    <n v="0.64"/>
    <n v="0"/>
    <x v="0"/>
  </r>
  <r>
    <n v="85"/>
    <d v="2022-09-03T00:00:00"/>
    <d v="1899-12-30T08:05:00"/>
    <n v="68"/>
    <x v="0"/>
    <x v="16"/>
    <x v="0"/>
    <n v="3"/>
    <n v="50"/>
    <n v="19"/>
    <n v="150"/>
    <x v="0"/>
    <n v="9"/>
    <x v="9"/>
    <n v="3"/>
    <x v="0"/>
    <n v="3"/>
    <n v="131"/>
    <n v="0.87333333300000004"/>
    <n v="1"/>
    <x v="1"/>
  </r>
  <r>
    <n v="232"/>
    <d v="2022-08-12T00:00:00"/>
    <d v="1899-12-30T07:14:00"/>
    <n v="150"/>
    <x v="1"/>
    <x v="22"/>
    <x v="1"/>
    <n v="1"/>
    <n v="25"/>
    <n v="12.75"/>
    <n v="25"/>
    <x v="0"/>
    <n v="8"/>
    <x v="4"/>
    <n v="12"/>
    <x v="3"/>
    <n v="3"/>
    <n v="12.25"/>
    <n v="0.49"/>
    <n v="0"/>
    <x v="1"/>
  </r>
  <r>
    <n v="240"/>
    <d v="2022-11-05T00:00:00"/>
    <d v="1899-12-30T11:49:00"/>
    <n v="95"/>
    <x v="1"/>
    <x v="8"/>
    <x v="1"/>
    <n v="1"/>
    <n v="300"/>
    <n v="123"/>
    <n v="300"/>
    <x v="0"/>
    <n v="11"/>
    <x v="0"/>
    <n v="5"/>
    <x v="0"/>
    <n v="4"/>
    <n v="177"/>
    <n v="0.59"/>
    <n v="1"/>
    <x v="0"/>
  </r>
  <r>
    <n v="993"/>
    <d v="2022-09-07T00:00:00"/>
    <d v="1899-12-30T09:21:00"/>
    <n v="134"/>
    <x v="1"/>
    <x v="42"/>
    <x v="2"/>
    <n v="3"/>
    <n v="50"/>
    <n v="17"/>
    <n v="150"/>
    <x v="0"/>
    <n v="9"/>
    <x v="9"/>
    <n v="7"/>
    <x v="4"/>
    <n v="3"/>
    <n v="133"/>
    <n v="0.88666666699999996"/>
    <n v="1"/>
    <x v="1"/>
  </r>
  <r>
    <n v="1085"/>
    <d v="2022-08-12T00:00:00"/>
    <d v="1899-12-30T09:29:00"/>
    <n v="76"/>
    <x v="0"/>
    <x v="16"/>
    <x v="0"/>
    <n v="3"/>
    <n v="50"/>
    <n v="17"/>
    <n v="150"/>
    <x v="0"/>
    <n v="8"/>
    <x v="4"/>
    <n v="12"/>
    <x v="3"/>
    <n v="3"/>
    <n v="133"/>
    <n v="0.88666666699999996"/>
    <n v="1"/>
    <x v="1"/>
  </r>
  <r>
    <n v="1232"/>
    <d v="2022-05-23T00:00:00"/>
    <d v="1899-12-30T08:05:00"/>
    <n v="146"/>
    <x v="1"/>
    <x v="22"/>
    <x v="1"/>
    <n v="1"/>
    <n v="25"/>
    <n v="6.25"/>
    <n v="25"/>
    <x v="0"/>
    <n v="5"/>
    <x v="7"/>
    <n v="23"/>
    <x v="1"/>
    <n v="2"/>
    <n v="18.75"/>
    <n v="0.75"/>
    <n v="0"/>
    <x v="3"/>
  </r>
  <r>
    <n v="1240"/>
    <d v="2022-08-07T00:00:00"/>
    <d v="1899-12-30T07:42:00"/>
    <n v="144"/>
    <x v="1"/>
    <x v="8"/>
    <x v="1"/>
    <n v="1"/>
    <n v="300"/>
    <n v="90"/>
    <n v="300"/>
    <x v="0"/>
    <n v="8"/>
    <x v="4"/>
    <n v="7"/>
    <x v="5"/>
    <n v="3"/>
    <n v="210"/>
    <n v="0.7"/>
    <n v="1"/>
    <x v="1"/>
  </r>
  <r>
    <n v="1993"/>
    <d v="2022-12-29T00:00:00"/>
    <d v="1899-12-30T11:53:00"/>
    <n v="123"/>
    <x v="1"/>
    <x v="42"/>
    <x v="2"/>
    <n v="3"/>
    <n v="50"/>
    <n v="26.5"/>
    <n v="150"/>
    <x v="0"/>
    <n v="12"/>
    <x v="2"/>
    <n v="29"/>
    <x v="2"/>
    <n v="4"/>
    <n v="123.5"/>
    <n v="0.823333333"/>
    <n v="1"/>
    <x v="0"/>
  </r>
  <r>
    <n v="366"/>
    <d v="2022-10-29T00:00:00"/>
    <d v="1899-12-30T09:32:00"/>
    <n v="116"/>
    <x v="0"/>
    <x v="10"/>
    <x v="0"/>
    <n v="2"/>
    <n v="50"/>
    <n v="17.5"/>
    <n v="100"/>
    <x v="0"/>
    <n v="10"/>
    <x v="5"/>
    <n v="29"/>
    <x v="0"/>
    <n v="4"/>
    <n v="82.5"/>
    <n v="0.82499999999999996"/>
    <n v="0"/>
    <x v="0"/>
  </r>
  <r>
    <n v="372"/>
    <d v="2022-06-19T00:00:00"/>
    <d v="1899-12-30T11:45:00"/>
    <n v="27"/>
    <x v="1"/>
    <x v="24"/>
    <x v="1"/>
    <n v="3"/>
    <n v="500"/>
    <n v="140"/>
    <n v="1500"/>
    <x v="0"/>
    <n v="6"/>
    <x v="11"/>
    <n v="19"/>
    <x v="5"/>
    <n v="2"/>
    <n v="1360"/>
    <n v="0.90666666699999998"/>
    <n v="1"/>
    <x v="3"/>
  </r>
  <r>
    <n v="596"/>
    <d v="2022-02-12T00:00:00"/>
    <d v="1899-12-30T08:44:00"/>
    <n v="87"/>
    <x v="1"/>
    <x v="3"/>
    <x v="2"/>
    <n v="1"/>
    <n v="300"/>
    <n v="93"/>
    <n v="300"/>
    <x v="0"/>
    <n v="2"/>
    <x v="10"/>
    <n v="12"/>
    <x v="0"/>
    <n v="1"/>
    <n v="207"/>
    <n v="0.69"/>
    <n v="1"/>
    <x v="2"/>
  </r>
  <r>
    <n v="936"/>
    <d v="2022-01-05T00:00:00"/>
    <d v="1899-12-30T10:51:00"/>
    <n v="143"/>
    <x v="0"/>
    <x v="10"/>
    <x v="1"/>
    <n v="4"/>
    <n v="50"/>
    <n v="19.5"/>
    <n v="200"/>
    <x v="0"/>
    <n v="1"/>
    <x v="3"/>
    <n v="5"/>
    <x v="4"/>
    <n v="1"/>
    <n v="180.5"/>
    <n v="0.90249999999999997"/>
    <n v="1"/>
    <x v="2"/>
  </r>
  <r>
    <n v="1366"/>
    <d v="2022-01-01T00:00:00"/>
    <d v="1899-12-30T11:34:00"/>
    <n v="25"/>
    <x v="0"/>
    <x v="10"/>
    <x v="0"/>
    <n v="2"/>
    <n v="50"/>
    <n v="23.5"/>
    <n v="100"/>
    <x v="0"/>
    <n v="1"/>
    <x v="3"/>
    <n v="1"/>
    <x v="0"/>
    <n v="1"/>
    <n v="76.5"/>
    <n v="0.76500000000000001"/>
    <n v="0"/>
    <x v="2"/>
  </r>
  <r>
    <n v="1372"/>
    <d v="2022-03-18T00:00:00"/>
    <d v="1899-12-30T10:53:00"/>
    <n v="60"/>
    <x v="1"/>
    <x v="24"/>
    <x v="1"/>
    <n v="3"/>
    <n v="500"/>
    <n v="145"/>
    <n v="1500"/>
    <x v="0"/>
    <n v="3"/>
    <x v="8"/>
    <n v="18"/>
    <x v="3"/>
    <n v="1"/>
    <n v="1355"/>
    <n v="0.90333333299999996"/>
    <n v="1"/>
    <x v="2"/>
  </r>
  <r>
    <n v="1596"/>
    <d v="2022-03-28T00:00:00"/>
    <d v="1899-12-30T06:22:00"/>
    <n v="7"/>
    <x v="1"/>
    <x v="3"/>
    <x v="2"/>
    <n v="1"/>
    <n v="300"/>
    <n v="141"/>
    <n v="300"/>
    <x v="0"/>
    <n v="3"/>
    <x v="8"/>
    <n v="28"/>
    <x v="1"/>
    <n v="1"/>
    <n v="159"/>
    <n v="0.53"/>
    <n v="1"/>
    <x v="2"/>
  </r>
  <r>
    <n v="1936"/>
    <d v="2022-06-19T00:00:00"/>
    <d v="1899-12-30T11:32:00"/>
    <n v="60"/>
    <x v="0"/>
    <x v="10"/>
    <x v="1"/>
    <n v="4"/>
    <n v="50"/>
    <n v="12.5"/>
    <n v="200"/>
    <x v="0"/>
    <n v="6"/>
    <x v="11"/>
    <n v="19"/>
    <x v="5"/>
    <n v="2"/>
    <n v="187.5"/>
    <n v="0.9375"/>
    <n v="1"/>
    <x v="3"/>
  </r>
  <r>
    <n v="284"/>
    <d v="2022-11-12T00:00:00"/>
    <d v="1899-12-30T09:17:00"/>
    <n v="129"/>
    <x v="0"/>
    <x v="22"/>
    <x v="0"/>
    <n v="4"/>
    <n v="50"/>
    <n v="20.5"/>
    <n v="200"/>
    <x v="0"/>
    <n v="11"/>
    <x v="0"/>
    <n v="12"/>
    <x v="0"/>
    <n v="4"/>
    <n v="179.5"/>
    <n v="0.89749999999999996"/>
    <n v="1"/>
    <x v="0"/>
  </r>
  <r>
    <n v="434"/>
    <d v="2022-10-26T00:00:00"/>
    <d v="1899-12-30T06:09:00"/>
    <n v="50"/>
    <x v="1"/>
    <x v="22"/>
    <x v="2"/>
    <n v="2"/>
    <n v="25"/>
    <n v="8.25"/>
    <n v="50"/>
    <x v="0"/>
    <n v="10"/>
    <x v="5"/>
    <n v="26"/>
    <x v="4"/>
    <n v="4"/>
    <n v="41.75"/>
    <n v="0.83499999999999996"/>
    <n v="0"/>
    <x v="0"/>
  </r>
  <r>
    <n v="775"/>
    <d v="2022-05-06T00:00:00"/>
    <d v="1899-12-30T11:07:00"/>
    <n v="98"/>
    <x v="1"/>
    <x v="1"/>
    <x v="2"/>
    <n v="4"/>
    <n v="25"/>
    <n v="9.5"/>
    <n v="100"/>
    <x v="0"/>
    <n v="5"/>
    <x v="7"/>
    <n v="6"/>
    <x v="3"/>
    <n v="2"/>
    <n v="90.5"/>
    <n v="0.90500000000000003"/>
    <n v="0"/>
    <x v="3"/>
  </r>
  <r>
    <n v="977"/>
    <d v="2022-07-26T00:00:00"/>
    <d v="1899-12-30T08:35:00"/>
    <n v="46"/>
    <x v="1"/>
    <x v="39"/>
    <x v="2"/>
    <n v="3"/>
    <n v="25"/>
    <n v="13.75"/>
    <n v="75"/>
    <x v="0"/>
    <n v="7"/>
    <x v="1"/>
    <n v="26"/>
    <x v="6"/>
    <n v="3"/>
    <n v="61.25"/>
    <n v="0.81666666700000001"/>
    <n v="0"/>
    <x v="1"/>
  </r>
  <r>
    <n v="1284"/>
    <d v="2022-12-16T00:00:00"/>
    <d v="1899-12-30T11:43:00"/>
    <n v="145"/>
    <x v="0"/>
    <x v="22"/>
    <x v="0"/>
    <n v="4"/>
    <n v="50"/>
    <n v="18"/>
    <n v="200"/>
    <x v="0"/>
    <n v="12"/>
    <x v="2"/>
    <n v="16"/>
    <x v="3"/>
    <n v="4"/>
    <n v="182"/>
    <n v="0.91"/>
    <n v="1"/>
    <x v="0"/>
  </r>
  <r>
    <n v="1434"/>
    <d v="2022-02-04T00:00:00"/>
    <d v="1899-12-30T10:02:00"/>
    <n v="147"/>
    <x v="1"/>
    <x v="22"/>
    <x v="2"/>
    <n v="2"/>
    <n v="25"/>
    <n v="7"/>
    <n v="50"/>
    <x v="0"/>
    <n v="2"/>
    <x v="10"/>
    <n v="4"/>
    <x v="3"/>
    <n v="1"/>
    <n v="43"/>
    <n v="0.86"/>
    <n v="0"/>
    <x v="2"/>
  </r>
  <r>
    <n v="1775"/>
    <d v="2022-12-18T00:00:00"/>
    <d v="1899-12-30T08:04:00"/>
    <n v="78"/>
    <x v="1"/>
    <x v="1"/>
    <x v="2"/>
    <n v="4"/>
    <n v="25"/>
    <n v="13.75"/>
    <n v="100"/>
    <x v="0"/>
    <n v="12"/>
    <x v="2"/>
    <n v="18"/>
    <x v="5"/>
    <n v="4"/>
    <n v="86.25"/>
    <n v="0.86250000000000004"/>
    <n v="0"/>
    <x v="0"/>
  </r>
  <r>
    <n v="1977"/>
    <d v="2022-08-05T00:00:00"/>
    <d v="1899-12-30T10:46:00"/>
    <n v="63"/>
    <x v="1"/>
    <x v="39"/>
    <x v="2"/>
    <n v="3"/>
    <n v="25"/>
    <n v="12"/>
    <n v="75"/>
    <x v="0"/>
    <n v="8"/>
    <x v="4"/>
    <n v="5"/>
    <x v="3"/>
    <n v="3"/>
    <n v="63"/>
    <n v="0.84"/>
    <n v="0"/>
    <x v="1"/>
  </r>
  <r>
    <n v="649"/>
    <d v="2022-06-21T00:00:00"/>
    <d v="1899-12-30T08:17:00"/>
    <n v="44"/>
    <x v="1"/>
    <x v="43"/>
    <x v="0"/>
    <n v="2"/>
    <n v="300"/>
    <n v="135"/>
    <n v="600"/>
    <x v="0"/>
    <n v="6"/>
    <x v="11"/>
    <n v="21"/>
    <x v="6"/>
    <n v="2"/>
    <n v="465"/>
    <n v="0.77500000000000002"/>
    <n v="1"/>
    <x v="3"/>
  </r>
  <r>
    <n v="1649"/>
    <d v="2022-10-21T00:00:00"/>
    <d v="1899-12-30T07:44:00"/>
    <n v="72"/>
    <x v="1"/>
    <x v="43"/>
    <x v="0"/>
    <n v="2"/>
    <n v="300"/>
    <n v="75"/>
    <n v="600"/>
    <x v="0"/>
    <n v="10"/>
    <x v="5"/>
    <n v="21"/>
    <x v="3"/>
    <n v="4"/>
    <n v="525"/>
    <n v="0.875"/>
    <n v="1"/>
    <x v="0"/>
  </r>
  <r>
    <n v="54"/>
    <d v="2022-10-20T00:00:00"/>
    <d v="1899-12-30T10:17:00"/>
    <n v="142"/>
    <x v="1"/>
    <x v="9"/>
    <x v="2"/>
    <n v="3"/>
    <n v="500"/>
    <n v="200"/>
    <n v="1500"/>
    <x v="0"/>
    <n v="10"/>
    <x v="5"/>
    <n v="20"/>
    <x v="2"/>
    <n v="4"/>
    <n v="1300"/>
    <n v="0.86666666699999995"/>
    <n v="1"/>
    <x v="0"/>
  </r>
  <r>
    <n v="68"/>
    <d v="2022-12-15T00:00:00"/>
    <d v="1899-12-30T09:06:00"/>
    <n v="146"/>
    <x v="0"/>
    <x v="38"/>
    <x v="2"/>
    <n v="1"/>
    <n v="300"/>
    <n v="84"/>
    <n v="300"/>
    <x v="0"/>
    <n v="12"/>
    <x v="2"/>
    <n v="15"/>
    <x v="2"/>
    <n v="4"/>
    <n v="216"/>
    <n v="0.72"/>
    <n v="1"/>
    <x v="0"/>
  </r>
  <r>
    <n v="192"/>
    <d v="2022-11-08T00:00:00"/>
    <d v="1899-12-30T08:05:00"/>
    <n v="134"/>
    <x v="0"/>
    <x v="44"/>
    <x v="1"/>
    <n v="2"/>
    <n v="50"/>
    <n v="13"/>
    <n v="100"/>
    <x v="0"/>
    <n v="11"/>
    <x v="0"/>
    <n v="8"/>
    <x v="6"/>
    <n v="4"/>
    <n v="87"/>
    <n v="0.87"/>
    <n v="0"/>
    <x v="0"/>
  </r>
  <r>
    <n v="1054"/>
    <d v="2022-01-10T00:00:00"/>
    <d v="1899-12-30T09:24:00"/>
    <n v="49"/>
    <x v="1"/>
    <x v="9"/>
    <x v="2"/>
    <n v="3"/>
    <n v="500"/>
    <n v="140"/>
    <n v="1500"/>
    <x v="0"/>
    <n v="1"/>
    <x v="3"/>
    <n v="10"/>
    <x v="1"/>
    <n v="1"/>
    <n v="1360"/>
    <n v="0.90666666699999998"/>
    <n v="1"/>
    <x v="2"/>
  </r>
  <r>
    <n v="1068"/>
    <d v="2022-09-14T00:00:00"/>
    <d v="1899-12-30T10:11:00"/>
    <n v="136"/>
    <x v="0"/>
    <x v="38"/>
    <x v="2"/>
    <n v="1"/>
    <n v="300"/>
    <n v="111"/>
    <n v="300"/>
    <x v="0"/>
    <n v="9"/>
    <x v="9"/>
    <n v="14"/>
    <x v="4"/>
    <n v="3"/>
    <n v="189"/>
    <n v="0.63"/>
    <n v="1"/>
    <x v="1"/>
  </r>
  <r>
    <n v="1192"/>
    <d v="2022-03-29T00:00:00"/>
    <d v="1899-12-30T08:41:00"/>
    <n v="37"/>
    <x v="0"/>
    <x v="44"/>
    <x v="1"/>
    <n v="2"/>
    <n v="50"/>
    <n v="20.5"/>
    <n v="100"/>
    <x v="0"/>
    <n v="3"/>
    <x v="8"/>
    <n v="29"/>
    <x v="6"/>
    <n v="1"/>
    <n v="79.5"/>
    <n v="0.79500000000000004"/>
    <n v="0"/>
    <x v="2"/>
  </r>
  <r>
    <n v="331"/>
    <d v="2022-08-16T00:00:00"/>
    <d v="1899-12-30T08:33:00"/>
    <n v="28"/>
    <x v="0"/>
    <x v="32"/>
    <x v="2"/>
    <n v="3"/>
    <n v="30"/>
    <n v="10.199999999999999"/>
    <n v="90"/>
    <x v="0"/>
    <n v="8"/>
    <x v="4"/>
    <n v="16"/>
    <x v="6"/>
    <n v="3"/>
    <n v="79.8"/>
    <n v="0.88666666699999996"/>
    <n v="0"/>
    <x v="1"/>
  </r>
  <r>
    <n v="346"/>
    <d v="2022-09-05T00:00:00"/>
    <d v="1899-12-30T06:54:00"/>
    <n v="38"/>
    <x v="0"/>
    <x v="26"/>
    <x v="0"/>
    <n v="2"/>
    <n v="500"/>
    <n v="215"/>
    <n v="1000"/>
    <x v="0"/>
    <n v="9"/>
    <x v="9"/>
    <n v="5"/>
    <x v="1"/>
    <n v="3"/>
    <n v="785"/>
    <n v="0.78500000000000003"/>
    <n v="1"/>
    <x v="1"/>
  </r>
  <r>
    <n v="657"/>
    <d v="2022-01-29T00:00:00"/>
    <d v="1899-12-30T08:53:00"/>
    <n v="46"/>
    <x v="0"/>
    <x v="2"/>
    <x v="0"/>
    <n v="1"/>
    <n v="25"/>
    <n v="8"/>
    <n v="25"/>
    <x v="0"/>
    <n v="1"/>
    <x v="3"/>
    <n v="29"/>
    <x v="0"/>
    <n v="1"/>
    <n v="17"/>
    <n v="0.68"/>
    <n v="0"/>
    <x v="2"/>
  </r>
  <r>
    <n v="732"/>
    <d v="2022-10-13T00:00:00"/>
    <d v="1899-12-30T08:45:00"/>
    <n v="136"/>
    <x v="0"/>
    <x v="45"/>
    <x v="2"/>
    <n v="2"/>
    <n v="500"/>
    <n v="250"/>
    <n v="1000"/>
    <x v="0"/>
    <n v="10"/>
    <x v="5"/>
    <n v="13"/>
    <x v="2"/>
    <n v="4"/>
    <n v="750"/>
    <n v="0.75"/>
    <n v="1"/>
    <x v="0"/>
  </r>
  <r>
    <n v="972"/>
    <d v="2022-08-16T00:00:00"/>
    <d v="1899-12-30T11:42:00"/>
    <n v="139"/>
    <x v="0"/>
    <x v="28"/>
    <x v="1"/>
    <n v="4"/>
    <n v="25"/>
    <n v="6.75"/>
    <n v="100"/>
    <x v="0"/>
    <n v="8"/>
    <x v="4"/>
    <n v="16"/>
    <x v="6"/>
    <n v="3"/>
    <n v="93.25"/>
    <n v="0.9325"/>
    <n v="0"/>
    <x v="1"/>
  </r>
  <r>
    <n v="1331"/>
    <d v="2022-05-15T00:00:00"/>
    <d v="1899-12-30T09:29:00"/>
    <n v="36"/>
    <x v="0"/>
    <x v="32"/>
    <x v="2"/>
    <n v="3"/>
    <n v="30"/>
    <n v="13.8"/>
    <n v="90"/>
    <x v="0"/>
    <n v="5"/>
    <x v="7"/>
    <n v="15"/>
    <x v="5"/>
    <n v="2"/>
    <n v="76.2"/>
    <n v="0.84666666700000004"/>
    <n v="0"/>
    <x v="3"/>
  </r>
  <r>
    <n v="1346"/>
    <d v="2022-04-10T00:00:00"/>
    <d v="1899-12-30T10:01:00"/>
    <n v="112"/>
    <x v="0"/>
    <x v="26"/>
    <x v="0"/>
    <n v="2"/>
    <n v="500"/>
    <n v="130"/>
    <n v="1000"/>
    <x v="0"/>
    <n v="4"/>
    <x v="6"/>
    <n v="10"/>
    <x v="5"/>
    <n v="2"/>
    <n v="870"/>
    <n v="0.87"/>
    <n v="1"/>
    <x v="3"/>
  </r>
  <r>
    <n v="1657"/>
    <d v="2022-08-09T00:00:00"/>
    <d v="1899-12-30T10:05:00"/>
    <n v="61"/>
    <x v="0"/>
    <x v="2"/>
    <x v="0"/>
    <n v="1"/>
    <n v="25"/>
    <n v="8"/>
    <n v="25"/>
    <x v="0"/>
    <n v="8"/>
    <x v="4"/>
    <n v="9"/>
    <x v="6"/>
    <n v="3"/>
    <n v="17"/>
    <n v="0.68"/>
    <n v="0"/>
    <x v="1"/>
  </r>
  <r>
    <n v="1732"/>
    <d v="2022-02-25T00:00:00"/>
    <d v="1899-12-30T07:05:00"/>
    <n v="55"/>
    <x v="0"/>
    <x v="45"/>
    <x v="2"/>
    <n v="2"/>
    <n v="500"/>
    <n v="215"/>
    <n v="1000"/>
    <x v="0"/>
    <n v="2"/>
    <x v="10"/>
    <n v="25"/>
    <x v="3"/>
    <n v="1"/>
    <n v="785"/>
    <n v="0.78500000000000003"/>
    <n v="1"/>
    <x v="2"/>
  </r>
  <r>
    <n v="1972"/>
    <d v="2022-12-21T00:00:00"/>
    <d v="1899-12-30T06:39:00"/>
    <n v="5"/>
    <x v="0"/>
    <x v="28"/>
    <x v="1"/>
    <n v="4"/>
    <n v="25"/>
    <n v="9.25"/>
    <n v="100"/>
    <x v="0"/>
    <n v="12"/>
    <x v="2"/>
    <n v="21"/>
    <x v="4"/>
    <n v="4"/>
    <n v="90.75"/>
    <n v="0.90749999999999997"/>
    <n v="0"/>
    <x v="0"/>
  </r>
  <r>
    <n v="714"/>
    <d v="2022-10-29T00:00:00"/>
    <d v="1899-12-30T08:50:00"/>
    <n v="20"/>
    <x v="1"/>
    <x v="18"/>
    <x v="0"/>
    <n v="1"/>
    <n v="500"/>
    <n v="190"/>
    <n v="500"/>
    <x v="0"/>
    <n v="10"/>
    <x v="5"/>
    <n v="29"/>
    <x v="0"/>
    <n v="4"/>
    <n v="310"/>
    <n v="0.62"/>
    <n v="1"/>
    <x v="0"/>
  </r>
  <r>
    <n v="1714"/>
    <d v="2022-11-23T00:00:00"/>
    <d v="1899-12-30T06:07:00"/>
    <n v="111"/>
    <x v="1"/>
    <x v="18"/>
    <x v="0"/>
    <n v="1"/>
    <n v="500"/>
    <n v="245"/>
    <n v="500"/>
    <x v="0"/>
    <n v="11"/>
    <x v="0"/>
    <n v="23"/>
    <x v="4"/>
    <n v="4"/>
    <n v="255"/>
    <n v="0.51"/>
    <n v="1"/>
    <x v="0"/>
  </r>
  <r>
    <n v="193"/>
    <d v="2022-03-27T00:00:00"/>
    <d v="1899-12-30T10:40:00"/>
    <n v="55"/>
    <x v="0"/>
    <x v="39"/>
    <x v="1"/>
    <n v="3"/>
    <n v="500"/>
    <n v="180"/>
    <n v="1500"/>
    <x v="0"/>
    <n v="3"/>
    <x v="8"/>
    <n v="27"/>
    <x v="5"/>
    <n v="1"/>
    <n v="1320"/>
    <n v="0.88"/>
    <n v="1"/>
    <x v="2"/>
  </r>
  <r>
    <n v="577"/>
    <d v="2022-04-21T00:00:00"/>
    <d v="1899-12-30T11:55:00"/>
    <n v="45"/>
    <x v="0"/>
    <x v="40"/>
    <x v="1"/>
    <n v="4"/>
    <n v="500"/>
    <n v="215"/>
    <n v="2000"/>
    <x v="0"/>
    <n v="4"/>
    <x v="6"/>
    <n v="21"/>
    <x v="2"/>
    <n v="2"/>
    <n v="1785"/>
    <n v="0.89249999999999996"/>
    <n v="1"/>
    <x v="3"/>
  </r>
  <r>
    <n v="848"/>
    <d v="2022-01-24T00:00:00"/>
    <d v="1899-12-30T10:46:00"/>
    <n v="15"/>
    <x v="1"/>
    <x v="15"/>
    <x v="0"/>
    <n v="3"/>
    <n v="25"/>
    <n v="9.75"/>
    <n v="75"/>
    <x v="0"/>
    <n v="1"/>
    <x v="3"/>
    <n v="24"/>
    <x v="1"/>
    <n v="1"/>
    <n v="65.25"/>
    <n v="0.87"/>
    <n v="0"/>
    <x v="2"/>
  </r>
  <r>
    <n v="945"/>
    <d v="2022-10-01T00:00:00"/>
    <d v="1899-12-30T10:01:00"/>
    <n v="120"/>
    <x v="0"/>
    <x v="7"/>
    <x v="1"/>
    <n v="1"/>
    <n v="25"/>
    <n v="13.25"/>
    <n v="25"/>
    <x v="0"/>
    <n v="10"/>
    <x v="5"/>
    <n v="1"/>
    <x v="0"/>
    <n v="4"/>
    <n v="11.75"/>
    <n v="0.47"/>
    <n v="0"/>
    <x v="0"/>
  </r>
  <r>
    <n v="1193"/>
    <d v="2022-05-11T00:00:00"/>
    <d v="1899-12-30T11:31:00"/>
    <n v="50"/>
    <x v="0"/>
    <x v="39"/>
    <x v="1"/>
    <n v="3"/>
    <n v="500"/>
    <n v="145"/>
    <n v="1500"/>
    <x v="0"/>
    <n v="5"/>
    <x v="7"/>
    <n v="11"/>
    <x v="4"/>
    <n v="2"/>
    <n v="1355"/>
    <n v="0.90333333299999996"/>
    <n v="1"/>
    <x v="3"/>
  </r>
  <r>
    <n v="1577"/>
    <d v="2022-09-11T00:00:00"/>
    <d v="1899-12-30T06:22:00"/>
    <n v="145"/>
    <x v="0"/>
    <x v="40"/>
    <x v="1"/>
    <n v="4"/>
    <n v="500"/>
    <n v="160"/>
    <n v="2000"/>
    <x v="0"/>
    <n v="9"/>
    <x v="9"/>
    <n v="11"/>
    <x v="5"/>
    <n v="3"/>
    <n v="1840"/>
    <n v="0.92"/>
    <n v="1"/>
    <x v="1"/>
  </r>
  <r>
    <n v="1848"/>
    <d v="2022-12-27T00:00:00"/>
    <d v="1899-12-30T10:16:00"/>
    <n v="63"/>
    <x v="1"/>
    <x v="15"/>
    <x v="0"/>
    <n v="3"/>
    <n v="25"/>
    <n v="12.5"/>
    <n v="75"/>
    <x v="0"/>
    <n v="12"/>
    <x v="2"/>
    <n v="27"/>
    <x v="6"/>
    <n v="4"/>
    <n v="62.5"/>
    <n v="0.83333333300000001"/>
    <n v="0"/>
    <x v="0"/>
  </r>
  <r>
    <n v="1945"/>
    <d v="2022-04-19T00:00:00"/>
    <d v="1899-12-30T09:55:00"/>
    <n v="33"/>
    <x v="0"/>
    <x v="7"/>
    <x v="1"/>
    <n v="1"/>
    <n v="25"/>
    <n v="10.75"/>
    <n v="25"/>
    <x v="0"/>
    <n v="4"/>
    <x v="6"/>
    <n v="19"/>
    <x v="6"/>
    <n v="2"/>
    <n v="14.25"/>
    <n v="0.56999999999999995"/>
    <n v="0"/>
    <x v="3"/>
  </r>
  <r>
    <n v="11"/>
    <d v="2022-02-27T00:00:00"/>
    <d v="1899-12-30T10:30:00"/>
    <n v="151"/>
    <x v="0"/>
    <x v="8"/>
    <x v="0"/>
    <n v="2"/>
    <n v="50"/>
    <n v="23.5"/>
    <n v="100"/>
    <x v="0"/>
    <n v="2"/>
    <x v="10"/>
    <n v="27"/>
    <x v="5"/>
    <n v="1"/>
    <n v="76.5"/>
    <n v="0.76500000000000001"/>
    <n v="0"/>
    <x v="2"/>
  </r>
  <r>
    <n v="821"/>
    <d v="2022-11-23T00:00:00"/>
    <d v="1899-12-30T11:27:00"/>
    <n v="40"/>
    <x v="0"/>
    <x v="28"/>
    <x v="2"/>
    <n v="1"/>
    <n v="300"/>
    <n v="129"/>
    <n v="300"/>
    <x v="0"/>
    <n v="11"/>
    <x v="0"/>
    <n v="23"/>
    <x v="4"/>
    <n v="4"/>
    <n v="171"/>
    <n v="0.56999999999999995"/>
    <n v="1"/>
    <x v="0"/>
  </r>
  <r>
    <n v="1011"/>
    <d v="2022-04-01T00:00:00"/>
    <d v="1899-12-30T06:48:00"/>
    <n v="15"/>
    <x v="0"/>
    <x v="8"/>
    <x v="0"/>
    <n v="2"/>
    <n v="50"/>
    <n v="19"/>
    <n v="100"/>
    <x v="0"/>
    <n v="4"/>
    <x v="6"/>
    <n v="1"/>
    <x v="3"/>
    <n v="2"/>
    <n v="81"/>
    <n v="0.81"/>
    <n v="0"/>
    <x v="3"/>
  </r>
  <r>
    <n v="1821"/>
    <d v="2022-10-03T00:00:00"/>
    <d v="1899-12-30T07:17:00"/>
    <n v="42"/>
    <x v="0"/>
    <x v="28"/>
    <x v="2"/>
    <n v="1"/>
    <n v="300"/>
    <n v="108"/>
    <n v="300"/>
    <x v="0"/>
    <n v="10"/>
    <x v="5"/>
    <n v="3"/>
    <x v="1"/>
    <n v="4"/>
    <n v="192"/>
    <n v="0.64"/>
    <n v="1"/>
    <x v="0"/>
  </r>
  <r>
    <n v="133"/>
    <d v="2022-06-23T00:00:00"/>
    <d v="1899-12-30T09:01:00"/>
    <n v="70"/>
    <x v="0"/>
    <x v="36"/>
    <x v="2"/>
    <n v="3"/>
    <n v="300"/>
    <n v="87"/>
    <n v="900"/>
    <x v="0"/>
    <n v="6"/>
    <x v="11"/>
    <n v="23"/>
    <x v="2"/>
    <n v="2"/>
    <n v="813"/>
    <n v="0.90333333299999996"/>
    <n v="1"/>
    <x v="3"/>
  </r>
  <r>
    <n v="1133"/>
    <d v="2022-03-05T00:00:00"/>
    <d v="1899-12-30T06:42:00"/>
    <n v="58"/>
    <x v="0"/>
    <x v="36"/>
    <x v="2"/>
    <n v="3"/>
    <n v="300"/>
    <n v="159"/>
    <n v="900"/>
    <x v="0"/>
    <n v="3"/>
    <x v="8"/>
    <n v="5"/>
    <x v="0"/>
    <n v="1"/>
    <n v="741"/>
    <n v="0.823333333"/>
    <n v="1"/>
    <x v="2"/>
  </r>
  <r>
    <n v="16"/>
    <d v="2022-06-25T00:00:00"/>
    <d v="1899-12-30T10:33:00"/>
    <n v="82"/>
    <x v="0"/>
    <x v="4"/>
    <x v="0"/>
    <n v="3"/>
    <n v="500"/>
    <n v="180"/>
    <n v="1500"/>
    <x v="0"/>
    <n v="6"/>
    <x v="11"/>
    <n v="25"/>
    <x v="0"/>
    <n v="2"/>
    <n v="1320"/>
    <n v="0.88"/>
    <n v="1"/>
    <x v="3"/>
  </r>
  <r>
    <n v="42"/>
    <d v="2022-12-08T00:00:00"/>
    <d v="1899-12-30T08:29:00"/>
    <n v="63"/>
    <x v="0"/>
    <x v="30"/>
    <x v="0"/>
    <n v="3"/>
    <n v="300"/>
    <n v="147"/>
    <n v="900"/>
    <x v="0"/>
    <n v="12"/>
    <x v="2"/>
    <n v="8"/>
    <x v="2"/>
    <n v="4"/>
    <n v="753"/>
    <n v="0.83666666700000003"/>
    <n v="1"/>
    <x v="0"/>
  </r>
  <r>
    <n v="292"/>
    <d v="2022-10-10T00:00:00"/>
    <d v="1899-12-30T06:33:00"/>
    <n v="111"/>
    <x v="0"/>
    <x v="36"/>
    <x v="1"/>
    <n v="4"/>
    <n v="300"/>
    <n v="141"/>
    <n v="1200"/>
    <x v="0"/>
    <n v="10"/>
    <x v="5"/>
    <n v="10"/>
    <x v="1"/>
    <n v="4"/>
    <n v="1059"/>
    <n v="0.88249999999999995"/>
    <n v="1"/>
    <x v="0"/>
  </r>
  <r>
    <n v="416"/>
    <d v="2022-08-21T00:00:00"/>
    <d v="1899-12-30T09:29:00"/>
    <n v="55"/>
    <x v="0"/>
    <x v="21"/>
    <x v="2"/>
    <n v="4"/>
    <n v="500"/>
    <n v="245"/>
    <n v="2000"/>
    <x v="0"/>
    <n v="8"/>
    <x v="4"/>
    <n v="21"/>
    <x v="5"/>
    <n v="3"/>
    <n v="1755"/>
    <n v="0.87749999999999995"/>
    <n v="1"/>
    <x v="1"/>
  </r>
  <r>
    <n v="584"/>
    <d v="2022-12-31T00:00:00"/>
    <d v="1899-12-30T10:21:00"/>
    <n v="106"/>
    <x v="1"/>
    <x v="17"/>
    <x v="1"/>
    <n v="4"/>
    <n v="50"/>
    <n v="16.5"/>
    <n v="200"/>
    <x v="0"/>
    <n v="12"/>
    <x v="2"/>
    <n v="31"/>
    <x v="0"/>
    <n v="4"/>
    <n v="183.5"/>
    <n v="0.91749999999999998"/>
    <n v="1"/>
    <x v="0"/>
  </r>
  <r>
    <n v="861"/>
    <d v="2022-09-30T00:00:00"/>
    <d v="1899-12-30T08:57:00"/>
    <n v="22"/>
    <x v="1"/>
    <x v="0"/>
    <x v="0"/>
    <n v="3"/>
    <n v="30"/>
    <n v="9.6"/>
    <n v="90"/>
    <x v="0"/>
    <n v="9"/>
    <x v="9"/>
    <n v="30"/>
    <x v="3"/>
    <n v="3"/>
    <n v="80.400000000000006"/>
    <n v="0.89333333299999995"/>
    <n v="0"/>
    <x v="1"/>
  </r>
  <r>
    <n v="1016"/>
    <d v="2022-12-12T00:00:00"/>
    <d v="1899-12-30T07:39:00"/>
    <n v="52"/>
    <x v="0"/>
    <x v="4"/>
    <x v="0"/>
    <n v="3"/>
    <n v="500"/>
    <n v="200"/>
    <n v="1500"/>
    <x v="0"/>
    <n v="12"/>
    <x v="2"/>
    <n v="12"/>
    <x v="1"/>
    <n v="4"/>
    <n v="1300"/>
    <n v="0.86666666699999995"/>
    <n v="1"/>
    <x v="0"/>
  </r>
  <r>
    <n v="1042"/>
    <d v="2022-02-11T00:00:00"/>
    <d v="1899-12-30T06:21:00"/>
    <n v="7"/>
    <x v="0"/>
    <x v="30"/>
    <x v="0"/>
    <n v="3"/>
    <n v="300"/>
    <n v="150"/>
    <n v="900"/>
    <x v="0"/>
    <n v="2"/>
    <x v="10"/>
    <n v="11"/>
    <x v="3"/>
    <n v="1"/>
    <n v="750"/>
    <n v="0.83333333300000001"/>
    <n v="1"/>
    <x v="2"/>
  </r>
  <r>
    <n v="1292"/>
    <d v="2022-05-15T00:00:00"/>
    <d v="1899-12-30T08:20:00"/>
    <n v="88"/>
    <x v="0"/>
    <x v="36"/>
    <x v="1"/>
    <n v="4"/>
    <n v="300"/>
    <n v="90"/>
    <n v="1200"/>
    <x v="0"/>
    <n v="5"/>
    <x v="7"/>
    <n v="15"/>
    <x v="5"/>
    <n v="2"/>
    <n v="1110"/>
    <n v="0.92500000000000004"/>
    <n v="1"/>
    <x v="3"/>
  </r>
  <r>
    <n v="1416"/>
    <d v="2022-12-29T00:00:00"/>
    <d v="1899-12-30T10:47:00"/>
    <n v="111"/>
    <x v="0"/>
    <x v="21"/>
    <x v="2"/>
    <n v="4"/>
    <n v="500"/>
    <n v="125"/>
    <n v="2000"/>
    <x v="0"/>
    <n v="12"/>
    <x v="2"/>
    <n v="29"/>
    <x v="2"/>
    <n v="4"/>
    <n v="1875"/>
    <n v="0.9375"/>
    <n v="1"/>
    <x v="0"/>
  </r>
  <r>
    <n v="1584"/>
    <d v="2022-09-03T00:00:00"/>
    <d v="1899-12-30T11:07:00"/>
    <n v="62"/>
    <x v="1"/>
    <x v="17"/>
    <x v="1"/>
    <n v="4"/>
    <n v="50"/>
    <n v="16.5"/>
    <n v="200"/>
    <x v="0"/>
    <n v="9"/>
    <x v="9"/>
    <n v="3"/>
    <x v="0"/>
    <n v="3"/>
    <n v="183.5"/>
    <n v="0.91749999999999998"/>
    <n v="1"/>
    <x v="1"/>
  </r>
  <r>
    <n v="1861"/>
    <d v="2022-07-04T00:00:00"/>
    <d v="1899-12-30T10:41:00"/>
    <n v="145"/>
    <x v="1"/>
    <x v="0"/>
    <x v="0"/>
    <n v="3"/>
    <n v="30"/>
    <n v="10.199999999999999"/>
    <n v="90"/>
    <x v="0"/>
    <n v="7"/>
    <x v="1"/>
    <n v="4"/>
    <x v="1"/>
    <n v="3"/>
    <n v="79.8"/>
    <n v="0.88666666699999996"/>
    <n v="0"/>
    <x v="1"/>
  </r>
  <r>
    <n v="256"/>
    <d v="2022-01-09T00:00:00"/>
    <d v="1899-12-30T08:05:00"/>
    <n v="3"/>
    <x v="0"/>
    <x v="8"/>
    <x v="0"/>
    <n v="2"/>
    <n v="500"/>
    <n v="270"/>
    <n v="1000"/>
    <x v="0"/>
    <n v="1"/>
    <x v="3"/>
    <n v="9"/>
    <x v="5"/>
    <n v="1"/>
    <n v="730"/>
    <n v="0.73"/>
    <n v="1"/>
    <x v="2"/>
  </r>
  <r>
    <n v="1256"/>
    <d v="2022-11-05T00:00:00"/>
    <d v="1899-12-30T09:58:00"/>
    <n v="29"/>
    <x v="0"/>
    <x v="8"/>
    <x v="0"/>
    <n v="2"/>
    <n v="500"/>
    <n v="190"/>
    <n v="1000"/>
    <x v="0"/>
    <n v="11"/>
    <x v="0"/>
    <n v="5"/>
    <x v="0"/>
    <n v="4"/>
    <n v="810"/>
    <n v="0.81"/>
    <n v="1"/>
    <x v="0"/>
  </r>
  <r>
    <n v="44"/>
    <d v="2022-03-03T00:00:00"/>
    <d v="1899-12-30T11:07:00"/>
    <n v="93"/>
    <x v="1"/>
    <x v="30"/>
    <x v="0"/>
    <n v="1"/>
    <n v="25"/>
    <n v="11.75"/>
    <n v="25"/>
    <x v="0"/>
    <n v="3"/>
    <x v="8"/>
    <n v="3"/>
    <x v="2"/>
    <n v="1"/>
    <n v="13.25"/>
    <n v="0.53"/>
    <n v="0"/>
    <x v="2"/>
  </r>
  <r>
    <n v="257"/>
    <d v="2022-12-10T00:00:00"/>
    <d v="1899-12-30T08:49:00"/>
    <n v="130"/>
    <x v="0"/>
    <x v="4"/>
    <x v="1"/>
    <n v="4"/>
    <n v="500"/>
    <n v="165"/>
    <n v="2000"/>
    <x v="0"/>
    <n v="12"/>
    <x v="2"/>
    <n v="10"/>
    <x v="0"/>
    <n v="4"/>
    <n v="1835"/>
    <n v="0.91749999999999998"/>
    <n v="1"/>
    <x v="0"/>
  </r>
  <r>
    <n v="1044"/>
    <d v="2022-02-20T00:00:00"/>
    <d v="1899-12-30T09:08:00"/>
    <n v="70"/>
    <x v="1"/>
    <x v="30"/>
    <x v="0"/>
    <n v="1"/>
    <n v="25"/>
    <n v="7.5"/>
    <n v="25"/>
    <x v="0"/>
    <n v="2"/>
    <x v="10"/>
    <n v="20"/>
    <x v="5"/>
    <n v="1"/>
    <n v="17.5"/>
    <n v="0.7"/>
    <n v="0"/>
    <x v="2"/>
  </r>
  <r>
    <n v="1257"/>
    <d v="2022-05-10T00:00:00"/>
    <d v="1899-12-30T11:55:00"/>
    <n v="29"/>
    <x v="0"/>
    <x v="4"/>
    <x v="1"/>
    <n v="4"/>
    <n v="500"/>
    <n v="255"/>
    <n v="2000"/>
    <x v="0"/>
    <n v="5"/>
    <x v="7"/>
    <n v="10"/>
    <x v="6"/>
    <n v="2"/>
    <n v="1745"/>
    <n v="0.87250000000000005"/>
    <n v="1"/>
    <x v="3"/>
  </r>
  <r>
    <n v="268"/>
    <d v="2022-04-14T00:00:00"/>
    <d v="1899-12-30T08:26:00"/>
    <n v="93"/>
    <x v="1"/>
    <x v="32"/>
    <x v="2"/>
    <n v="1"/>
    <n v="30"/>
    <n v="8.6999999999999993"/>
    <n v="30"/>
    <x v="0"/>
    <n v="4"/>
    <x v="6"/>
    <n v="14"/>
    <x v="2"/>
    <n v="2"/>
    <n v="21.3"/>
    <n v="0.71"/>
    <n v="0"/>
    <x v="3"/>
  </r>
  <r>
    <n v="287"/>
    <d v="2022-08-26T00:00:00"/>
    <d v="1899-12-30T11:07:00"/>
    <n v="88"/>
    <x v="0"/>
    <x v="29"/>
    <x v="0"/>
    <n v="4"/>
    <n v="25"/>
    <n v="10"/>
    <n v="100"/>
    <x v="0"/>
    <n v="8"/>
    <x v="4"/>
    <n v="26"/>
    <x v="3"/>
    <n v="3"/>
    <n v="90"/>
    <n v="0.9"/>
    <n v="0"/>
    <x v="1"/>
  </r>
  <r>
    <n v="966"/>
    <d v="2022-11-07T00:00:00"/>
    <d v="1899-12-30T07:22:00"/>
    <n v="119"/>
    <x v="0"/>
    <x v="13"/>
    <x v="2"/>
    <n v="2"/>
    <n v="500"/>
    <n v="190"/>
    <n v="1000"/>
    <x v="0"/>
    <n v="11"/>
    <x v="0"/>
    <n v="7"/>
    <x v="1"/>
    <n v="4"/>
    <n v="810"/>
    <n v="0.81"/>
    <n v="1"/>
    <x v="0"/>
  </r>
  <r>
    <n v="1268"/>
    <d v="2022-06-09T00:00:00"/>
    <d v="1899-12-30T09:33:00"/>
    <n v="15"/>
    <x v="1"/>
    <x v="32"/>
    <x v="2"/>
    <n v="1"/>
    <n v="30"/>
    <n v="14.1"/>
    <n v="30"/>
    <x v="0"/>
    <n v="6"/>
    <x v="11"/>
    <n v="9"/>
    <x v="2"/>
    <n v="2"/>
    <n v="15.9"/>
    <n v="0.53"/>
    <n v="0"/>
    <x v="3"/>
  </r>
  <r>
    <n v="1287"/>
    <d v="2022-09-13T00:00:00"/>
    <d v="1899-12-30T08:03:00"/>
    <n v="120"/>
    <x v="0"/>
    <x v="29"/>
    <x v="0"/>
    <n v="4"/>
    <n v="25"/>
    <n v="7"/>
    <n v="100"/>
    <x v="0"/>
    <n v="9"/>
    <x v="9"/>
    <n v="13"/>
    <x v="6"/>
    <n v="3"/>
    <n v="93"/>
    <n v="0.93"/>
    <n v="0"/>
    <x v="1"/>
  </r>
  <r>
    <n v="1966"/>
    <d v="2022-07-20T00:00:00"/>
    <d v="1899-12-30T09:52:00"/>
    <n v="74"/>
    <x v="0"/>
    <x v="13"/>
    <x v="2"/>
    <n v="2"/>
    <n v="500"/>
    <n v="200"/>
    <n v="1000"/>
    <x v="0"/>
    <n v="7"/>
    <x v="1"/>
    <n v="20"/>
    <x v="4"/>
    <n v="3"/>
    <n v="800"/>
    <n v="0.8"/>
    <n v="1"/>
    <x v="1"/>
  </r>
  <r>
    <n v="70"/>
    <d v="2022-12-27T00:00:00"/>
    <d v="1899-12-30T10:48:00"/>
    <n v="147"/>
    <x v="1"/>
    <x v="22"/>
    <x v="0"/>
    <n v="1"/>
    <n v="300"/>
    <n v="84"/>
    <n v="300"/>
    <x v="0"/>
    <n v="12"/>
    <x v="2"/>
    <n v="27"/>
    <x v="6"/>
    <n v="4"/>
    <n v="216"/>
    <n v="0.72"/>
    <n v="1"/>
    <x v="0"/>
  </r>
  <r>
    <n v="371"/>
    <d v="2022-12-18T00:00:00"/>
    <d v="1899-12-30T10:01:00"/>
    <n v="32"/>
    <x v="1"/>
    <x v="36"/>
    <x v="1"/>
    <n v="1"/>
    <n v="25"/>
    <n v="13"/>
    <n v="25"/>
    <x v="0"/>
    <n v="12"/>
    <x v="2"/>
    <n v="18"/>
    <x v="5"/>
    <n v="4"/>
    <n v="12"/>
    <n v="0.48"/>
    <n v="0"/>
    <x v="0"/>
  </r>
  <r>
    <n v="900"/>
    <d v="2022-11-10T00:00:00"/>
    <d v="1899-12-30T08:41:00"/>
    <n v="130"/>
    <x v="0"/>
    <x v="40"/>
    <x v="0"/>
    <n v="2"/>
    <n v="30"/>
    <n v="15.6"/>
    <n v="60"/>
    <x v="0"/>
    <n v="11"/>
    <x v="0"/>
    <n v="10"/>
    <x v="2"/>
    <n v="4"/>
    <n v="44.4"/>
    <n v="0.74"/>
    <n v="0"/>
    <x v="0"/>
  </r>
  <r>
    <n v="1070"/>
    <d v="2022-07-14T00:00:00"/>
    <d v="1899-12-30T11:12:00"/>
    <n v="102"/>
    <x v="1"/>
    <x v="22"/>
    <x v="0"/>
    <n v="1"/>
    <n v="300"/>
    <n v="120"/>
    <n v="300"/>
    <x v="0"/>
    <n v="7"/>
    <x v="1"/>
    <n v="14"/>
    <x v="2"/>
    <n v="3"/>
    <n v="180"/>
    <n v="0.6"/>
    <n v="1"/>
    <x v="1"/>
  </r>
  <r>
    <n v="1371"/>
    <d v="2022-05-06T00:00:00"/>
    <d v="1899-12-30T06:52:00"/>
    <n v="41"/>
    <x v="1"/>
    <x v="36"/>
    <x v="1"/>
    <n v="1"/>
    <n v="25"/>
    <n v="13.5"/>
    <n v="25"/>
    <x v="0"/>
    <n v="5"/>
    <x v="7"/>
    <n v="6"/>
    <x v="3"/>
    <n v="2"/>
    <n v="11.5"/>
    <n v="0.46"/>
    <n v="0"/>
    <x v="3"/>
  </r>
  <r>
    <n v="1900"/>
    <d v="2022-01-21T00:00:00"/>
    <d v="1899-12-30T06:43:00"/>
    <n v="65"/>
    <x v="0"/>
    <x v="40"/>
    <x v="0"/>
    <n v="2"/>
    <n v="30"/>
    <n v="10.8"/>
    <n v="60"/>
    <x v="0"/>
    <n v="1"/>
    <x v="3"/>
    <n v="21"/>
    <x v="3"/>
    <n v="1"/>
    <n v="49.2"/>
    <n v="0.82"/>
    <n v="0"/>
    <x v="2"/>
  </r>
  <r>
    <n v="8"/>
    <d v="2022-12-27T00:00:00"/>
    <d v="1899-12-30T11:19:00"/>
    <n v="148"/>
    <x v="0"/>
    <x v="7"/>
    <x v="2"/>
    <n v="4"/>
    <n v="25"/>
    <n v="11"/>
    <n v="100"/>
    <x v="0"/>
    <n v="12"/>
    <x v="2"/>
    <n v="27"/>
    <x v="6"/>
    <n v="4"/>
    <n v="89"/>
    <n v="0.89"/>
    <n v="0"/>
    <x v="0"/>
  </r>
  <r>
    <n v="41"/>
    <d v="2022-10-11T00:00:00"/>
    <d v="1899-12-30T10:36:00"/>
    <n v="88"/>
    <x v="0"/>
    <x v="23"/>
    <x v="0"/>
    <n v="2"/>
    <n v="25"/>
    <n v="13.25"/>
    <n v="50"/>
    <x v="0"/>
    <n v="10"/>
    <x v="5"/>
    <n v="11"/>
    <x v="6"/>
    <n v="4"/>
    <n v="36.75"/>
    <n v="0.73499999999999999"/>
    <n v="0"/>
    <x v="0"/>
  </r>
  <r>
    <n v="454"/>
    <d v="2022-03-12T00:00:00"/>
    <d v="1899-12-30T07:20:00"/>
    <n v="13"/>
    <x v="1"/>
    <x v="1"/>
    <x v="1"/>
    <n v="1"/>
    <n v="25"/>
    <n v="13"/>
    <n v="25"/>
    <x v="0"/>
    <n v="3"/>
    <x v="8"/>
    <n v="12"/>
    <x v="0"/>
    <n v="1"/>
    <n v="12"/>
    <n v="0.48"/>
    <n v="0"/>
    <x v="2"/>
  </r>
  <r>
    <n v="780"/>
    <d v="2022-07-06T00:00:00"/>
    <d v="1899-12-30T11:30:00"/>
    <n v="107"/>
    <x v="0"/>
    <x v="41"/>
    <x v="2"/>
    <n v="2"/>
    <n v="25"/>
    <n v="13.25"/>
    <n v="50"/>
    <x v="0"/>
    <n v="7"/>
    <x v="1"/>
    <n v="6"/>
    <x v="4"/>
    <n v="3"/>
    <n v="36.75"/>
    <n v="0.73499999999999999"/>
    <n v="0"/>
    <x v="1"/>
  </r>
  <r>
    <n v="920"/>
    <d v="2022-08-20T00:00:00"/>
    <d v="1899-12-30T10:25:00"/>
    <n v="99"/>
    <x v="1"/>
    <x v="32"/>
    <x v="1"/>
    <n v="3"/>
    <n v="25"/>
    <n v="6.75"/>
    <n v="75"/>
    <x v="0"/>
    <n v="8"/>
    <x v="4"/>
    <n v="20"/>
    <x v="0"/>
    <n v="3"/>
    <n v="68.25"/>
    <n v="0.91"/>
    <n v="0"/>
    <x v="1"/>
  </r>
  <r>
    <n v="1008"/>
    <d v="2022-01-10T00:00:00"/>
    <d v="1899-12-30T08:51:00"/>
    <n v="116"/>
    <x v="0"/>
    <x v="7"/>
    <x v="2"/>
    <n v="4"/>
    <n v="25"/>
    <n v="13"/>
    <n v="100"/>
    <x v="0"/>
    <n v="1"/>
    <x v="3"/>
    <n v="10"/>
    <x v="1"/>
    <n v="1"/>
    <n v="87"/>
    <n v="0.87"/>
    <n v="0"/>
    <x v="2"/>
  </r>
  <r>
    <n v="1041"/>
    <d v="2022-05-10T00:00:00"/>
    <d v="1899-12-30T07:27:00"/>
    <n v="74"/>
    <x v="0"/>
    <x v="23"/>
    <x v="0"/>
    <n v="2"/>
    <n v="25"/>
    <n v="11"/>
    <n v="50"/>
    <x v="0"/>
    <n v="5"/>
    <x v="7"/>
    <n v="10"/>
    <x v="6"/>
    <n v="2"/>
    <n v="39"/>
    <n v="0.78"/>
    <n v="0"/>
    <x v="3"/>
  </r>
  <r>
    <n v="1454"/>
    <d v="2022-06-25T00:00:00"/>
    <d v="1899-12-30T11:18:00"/>
    <n v="22"/>
    <x v="1"/>
    <x v="1"/>
    <x v="1"/>
    <n v="1"/>
    <n v="25"/>
    <n v="6.75"/>
    <n v="25"/>
    <x v="0"/>
    <n v="6"/>
    <x v="11"/>
    <n v="25"/>
    <x v="0"/>
    <n v="2"/>
    <n v="18.25"/>
    <n v="0.73"/>
    <n v="0"/>
    <x v="3"/>
  </r>
  <r>
    <n v="1780"/>
    <d v="2022-12-11T00:00:00"/>
    <d v="1899-12-30T10:00:00"/>
    <n v="32"/>
    <x v="0"/>
    <x v="41"/>
    <x v="2"/>
    <n v="2"/>
    <n v="25"/>
    <n v="10.5"/>
    <n v="50"/>
    <x v="0"/>
    <n v="12"/>
    <x v="2"/>
    <n v="11"/>
    <x v="5"/>
    <n v="4"/>
    <n v="39.5"/>
    <n v="0.79"/>
    <n v="0"/>
    <x v="0"/>
  </r>
  <r>
    <n v="1920"/>
    <d v="2022-10-24T00:00:00"/>
    <d v="1899-12-30T08:33:00"/>
    <n v="23"/>
    <x v="1"/>
    <x v="32"/>
    <x v="1"/>
    <n v="3"/>
    <n v="25"/>
    <n v="9.25"/>
    <n v="75"/>
    <x v="0"/>
    <n v="10"/>
    <x v="5"/>
    <n v="24"/>
    <x v="1"/>
    <n v="4"/>
    <n v="65.75"/>
    <n v="0.87666666699999996"/>
    <n v="0"/>
    <x v="0"/>
  </r>
  <r>
    <n v="396"/>
    <d v="2022-12-15T00:00:00"/>
    <d v="1899-12-30T07:11:00"/>
    <n v="29"/>
    <x v="1"/>
    <x v="46"/>
    <x v="1"/>
    <n v="1"/>
    <n v="30"/>
    <n v="10.8"/>
    <n v="30"/>
    <x v="0"/>
    <n v="12"/>
    <x v="2"/>
    <n v="15"/>
    <x v="2"/>
    <n v="4"/>
    <n v="19.2"/>
    <n v="0.64"/>
    <n v="0"/>
    <x v="0"/>
  </r>
  <r>
    <n v="1396"/>
    <d v="2022-06-07T00:00:00"/>
    <d v="1899-12-30T06:23:00"/>
    <n v="9"/>
    <x v="1"/>
    <x v="46"/>
    <x v="1"/>
    <n v="1"/>
    <n v="30"/>
    <n v="8.4"/>
    <n v="30"/>
    <x v="0"/>
    <n v="6"/>
    <x v="11"/>
    <n v="7"/>
    <x v="6"/>
    <n v="2"/>
    <n v="21.6"/>
    <n v="0.72"/>
    <n v="0"/>
    <x v="3"/>
  </r>
  <r>
    <n v="168"/>
    <d v="2022-04-29T00:00:00"/>
    <d v="1899-12-30T09:20:00"/>
    <n v="138"/>
    <x v="0"/>
    <x v="21"/>
    <x v="0"/>
    <n v="1"/>
    <n v="300"/>
    <n v="102"/>
    <n v="300"/>
    <x v="0"/>
    <n v="4"/>
    <x v="6"/>
    <n v="29"/>
    <x v="3"/>
    <n v="2"/>
    <n v="198"/>
    <n v="0.66"/>
    <n v="1"/>
    <x v="3"/>
  </r>
  <r>
    <n v="400"/>
    <d v="2022-03-08T00:00:00"/>
    <d v="1899-12-30T09:52:00"/>
    <n v="2"/>
    <x v="0"/>
    <x v="21"/>
    <x v="0"/>
    <n v="4"/>
    <n v="50"/>
    <n v="24"/>
    <n v="200"/>
    <x v="0"/>
    <n v="3"/>
    <x v="8"/>
    <n v="8"/>
    <x v="6"/>
    <n v="1"/>
    <n v="176"/>
    <n v="0.88"/>
    <n v="1"/>
    <x v="2"/>
  </r>
  <r>
    <n v="611"/>
    <d v="2022-07-21T00:00:00"/>
    <d v="1899-12-30T08:13:00"/>
    <n v="11"/>
    <x v="0"/>
    <x v="12"/>
    <x v="1"/>
    <n v="3"/>
    <n v="500"/>
    <n v="180"/>
    <n v="1500"/>
    <x v="0"/>
    <n v="7"/>
    <x v="1"/>
    <n v="21"/>
    <x v="2"/>
    <n v="3"/>
    <n v="1320"/>
    <n v="0.88"/>
    <n v="1"/>
    <x v="1"/>
  </r>
  <r>
    <n v="800"/>
    <d v="2022-09-19T00:00:00"/>
    <d v="1899-12-30T07:33:00"/>
    <n v="111"/>
    <x v="0"/>
    <x v="37"/>
    <x v="0"/>
    <n v="4"/>
    <n v="300"/>
    <n v="87"/>
    <n v="1200"/>
    <x v="0"/>
    <n v="9"/>
    <x v="9"/>
    <n v="19"/>
    <x v="1"/>
    <n v="3"/>
    <n v="1113"/>
    <n v="0.92749999999999999"/>
    <n v="1"/>
    <x v="1"/>
  </r>
  <r>
    <n v="1168"/>
    <d v="2022-07-10T00:00:00"/>
    <d v="1899-12-30T07:56:00"/>
    <n v="68"/>
    <x v="0"/>
    <x v="21"/>
    <x v="0"/>
    <n v="1"/>
    <n v="300"/>
    <n v="150"/>
    <n v="300"/>
    <x v="0"/>
    <n v="7"/>
    <x v="1"/>
    <n v="10"/>
    <x v="5"/>
    <n v="3"/>
    <n v="150"/>
    <n v="0.5"/>
    <n v="1"/>
    <x v="1"/>
  </r>
  <r>
    <n v="1400"/>
    <d v="2022-09-12T00:00:00"/>
    <d v="1899-12-30T11:54:00"/>
    <n v="115"/>
    <x v="0"/>
    <x v="21"/>
    <x v="0"/>
    <n v="4"/>
    <n v="50"/>
    <n v="20"/>
    <n v="200"/>
    <x v="0"/>
    <n v="9"/>
    <x v="9"/>
    <n v="12"/>
    <x v="1"/>
    <n v="3"/>
    <n v="180"/>
    <n v="0.9"/>
    <n v="1"/>
    <x v="1"/>
  </r>
  <r>
    <n v="1611"/>
    <d v="2022-11-17T00:00:00"/>
    <d v="1899-12-30T07:30:00"/>
    <n v="125"/>
    <x v="0"/>
    <x v="12"/>
    <x v="1"/>
    <n v="3"/>
    <n v="500"/>
    <n v="180"/>
    <n v="1500"/>
    <x v="0"/>
    <n v="11"/>
    <x v="0"/>
    <n v="17"/>
    <x v="2"/>
    <n v="4"/>
    <n v="1320"/>
    <n v="0.88"/>
    <n v="1"/>
    <x v="0"/>
  </r>
  <r>
    <n v="1800"/>
    <d v="2022-08-21T00:00:00"/>
    <d v="1899-12-30T10:53:00"/>
    <n v="1"/>
    <x v="0"/>
    <x v="37"/>
    <x v="0"/>
    <n v="4"/>
    <n v="300"/>
    <n v="111"/>
    <n v="1200"/>
    <x v="0"/>
    <n v="8"/>
    <x v="4"/>
    <n v="21"/>
    <x v="5"/>
    <n v="3"/>
    <n v="1089"/>
    <n v="0.90749999999999997"/>
    <n v="1"/>
    <x v="1"/>
  </r>
  <r>
    <n v="272"/>
    <d v="2022-06-10T00:00:00"/>
    <d v="1899-12-30T11:57:00"/>
    <n v="112"/>
    <x v="1"/>
    <x v="45"/>
    <x v="2"/>
    <n v="2"/>
    <n v="50"/>
    <n v="27.5"/>
    <n v="100"/>
    <x v="0"/>
    <n v="6"/>
    <x v="11"/>
    <n v="10"/>
    <x v="3"/>
    <n v="2"/>
    <n v="72.5"/>
    <n v="0.72499999999999998"/>
    <n v="0"/>
    <x v="3"/>
  </r>
  <r>
    <n v="473"/>
    <d v="2022-09-25T00:00:00"/>
    <d v="1899-12-30T10:09:00"/>
    <n v="1"/>
    <x v="0"/>
    <x v="3"/>
    <x v="1"/>
    <n v="1"/>
    <n v="50"/>
    <n v="14.5"/>
    <n v="50"/>
    <x v="0"/>
    <n v="9"/>
    <x v="9"/>
    <n v="25"/>
    <x v="5"/>
    <n v="3"/>
    <n v="35.5"/>
    <n v="0.71"/>
    <n v="0"/>
    <x v="1"/>
  </r>
  <r>
    <n v="506"/>
    <d v="2022-04-29T00:00:00"/>
    <d v="1899-12-30T07:13:00"/>
    <n v="9"/>
    <x v="0"/>
    <x v="23"/>
    <x v="1"/>
    <n v="3"/>
    <n v="500"/>
    <n v="200"/>
    <n v="1500"/>
    <x v="0"/>
    <n v="4"/>
    <x v="6"/>
    <n v="29"/>
    <x v="3"/>
    <n v="2"/>
    <n v="1300"/>
    <n v="0.86666666699999995"/>
    <n v="1"/>
    <x v="3"/>
  </r>
  <r>
    <n v="766"/>
    <d v="2022-01-04T00:00:00"/>
    <d v="1899-12-30T08:02:00"/>
    <n v="128"/>
    <x v="0"/>
    <x v="9"/>
    <x v="2"/>
    <n v="3"/>
    <n v="300"/>
    <n v="165"/>
    <n v="900"/>
    <x v="0"/>
    <n v="1"/>
    <x v="3"/>
    <n v="4"/>
    <x v="6"/>
    <n v="1"/>
    <n v="735"/>
    <n v="0.81666666700000001"/>
    <n v="1"/>
    <x v="2"/>
  </r>
  <r>
    <n v="1272"/>
    <d v="2022-04-14T00:00:00"/>
    <d v="1899-12-30T11:59:00"/>
    <n v="66"/>
    <x v="1"/>
    <x v="45"/>
    <x v="2"/>
    <n v="2"/>
    <n v="50"/>
    <n v="17"/>
    <n v="100"/>
    <x v="0"/>
    <n v="4"/>
    <x v="6"/>
    <n v="14"/>
    <x v="2"/>
    <n v="2"/>
    <n v="83"/>
    <n v="0.83"/>
    <n v="0"/>
    <x v="3"/>
  </r>
  <r>
    <n v="1473"/>
    <d v="2022-03-19T00:00:00"/>
    <d v="1899-12-30T09:06:00"/>
    <n v="30"/>
    <x v="0"/>
    <x v="3"/>
    <x v="1"/>
    <n v="1"/>
    <n v="50"/>
    <n v="13"/>
    <n v="50"/>
    <x v="0"/>
    <n v="3"/>
    <x v="8"/>
    <n v="19"/>
    <x v="0"/>
    <n v="1"/>
    <n v="37"/>
    <n v="0.74"/>
    <n v="0"/>
    <x v="2"/>
  </r>
  <r>
    <n v="1506"/>
    <d v="2022-01-09T00:00:00"/>
    <d v="1899-12-30T07:31:00"/>
    <n v="52"/>
    <x v="0"/>
    <x v="23"/>
    <x v="1"/>
    <n v="3"/>
    <n v="500"/>
    <n v="245"/>
    <n v="1500"/>
    <x v="0"/>
    <n v="1"/>
    <x v="3"/>
    <n v="9"/>
    <x v="5"/>
    <n v="1"/>
    <n v="1255"/>
    <n v="0.83666666700000003"/>
    <n v="1"/>
    <x v="2"/>
  </r>
  <r>
    <n v="1766"/>
    <d v="2022-11-22T00:00:00"/>
    <d v="1899-12-30T06:08:00"/>
    <n v="6"/>
    <x v="0"/>
    <x v="9"/>
    <x v="2"/>
    <n v="3"/>
    <n v="300"/>
    <n v="129"/>
    <n v="900"/>
    <x v="0"/>
    <n v="11"/>
    <x v="0"/>
    <n v="22"/>
    <x v="6"/>
    <n v="4"/>
    <n v="771"/>
    <n v="0.85666666700000005"/>
    <n v="1"/>
    <x v="0"/>
  </r>
  <r>
    <n v="135"/>
    <d v="2022-04-18T00:00:00"/>
    <d v="1899-12-30T07:22:00"/>
    <n v="104"/>
    <x v="0"/>
    <x v="36"/>
    <x v="0"/>
    <n v="2"/>
    <n v="25"/>
    <n v="13"/>
    <n v="50"/>
    <x v="0"/>
    <n v="4"/>
    <x v="6"/>
    <n v="18"/>
    <x v="1"/>
    <n v="2"/>
    <n v="37"/>
    <n v="0.74"/>
    <n v="0"/>
    <x v="3"/>
  </r>
  <r>
    <n v="1135"/>
    <d v="2022-01-14T00:00:00"/>
    <d v="1899-12-30T08:16:00"/>
    <n v="124"/>
    <x v="0"/>
    <x v="36"/>
    <x v="0"/>
    <n v="2"/>
    <n v="25"/>
    <n v="12.5"/>
    <n v="50"/>
    <x v="0"/>
    <n v="1"/>
    <x v="3"/>
    <n v="14"/>
    <x v="3"/>
    <n v="1"/>
    <n v="37.5"/>
    <n v="0.75"/>
    <n v="0"/>
    <x v="2"/>
  </r>
  <r>
    <n v="2"/>
    <d v="2022-06-24T00:00:00"/>
    <d v="1899-12-30T10:07:00"/>
    <n v="104"/>
    <x v="1"/>
    <x v="6"/>
    <x v="0"/>
    <n v="2"/>
    <n v="500"/>
    <n v="135"/>
    <n v="1000"/>
    <x v="0"/>
    <n v="6"/>
    <x v="11"/>
    <n v="24"/>
    <x v="3"/>
    <n v="2"/>
    <n v="865"/>
    <n v="0.86499999999999999"/>
    <n v="1"/>
    <x v="3"/>
  </r>
  <r>
    <n v="158"/>
    <d v="2022-01-21T00:00:00"/>
    <d v="1899-12-30T11:38:00"/>
    <n v="141"/>
    <x v="1"/>
    <x v="47"/>
    <x v="2"/>
    <n v="2"/>
    <n v="300"/>
    <n v="132"/>
    <n v="600"/>
    <x v="0"/>
    <n v="1"/>
    <x v="3"/>
    <n v="21"/>
    <x v="3"/>
    <n v="1"/>
    <n v="468"/>
    <n v="0.78"/>
    <n v="1"/>
    <x v="2"/>
  </r>
  <r>
    <n v="185"/>
    <d v="2022-06-27T00:00:00"/>
    <d v="1899-12-30T09:48:00"/>
    <n v="57"/>
    <x v="0"/>
    <x v="24"/>
    <x v="0"/>
    <n v="1"/>
    <n v="25"/>
    <n v="7"/>
    <n v="25"/>
    <x v="0"/>
    <n v="6"/>
    <x v="11"/>
    <n v="27"/>
    <x v="1"/>
    <n v="2"/>
    <n v="18"/>
    <n v="0.72"/>
    <n v="0"/>
    <x v="3"/>
  </r>
  <r>
    <n v="433"/>
    <d v="2022-07-29T00:00:00"/>
    <d v="1899-12-30T08:48:00"/>
    <n v="144"/>
    <x v="0"/>
    <x v="33"/>
    <x v="1"/>
    <n v="4"/>
    <n v="50"/>
    <n v="20"/>
    <n v="200"/>
    <x v="0"/>
    <n v="7"/>
    <x v="1"/>
    <n v="29"/>
    <x v="3"/>
    <n v="3"/>
    <n v="180"/>
    <n v="0.9"/>
    <n v="1"/>
    <x v="1"/>
  </r>
  <r>
    <n v="1002"/>
    <d v="2022-03-02T00:00:00"/>
    <d v="1899-12-30T09:24:00"/>
    <n v="69"/>
    <x v="1"/>
    <x v="6"/>
    <x v="0"/>
    <n v="2"/>
    <n v="500"/>
    <n v="270"/>
    <n v="1000"/>
    <x v="0"/>
    <n v="3"/>
    <x v="8"/>
    <n v="2"/>
    <x v="4"/>
    <n v="1"/>
    <n v="730"/>
    <n v="0.73"/>
    <n v="1"/>
    <x v="2"/>
  </r>
  <r>
    <n v="1158"/>
    <d v="2022-02-24T00:00:00"/>
    <d v="1899-12-30T09:29:00"/>
    <n v="77"/>
    <x v="1"/>
    <x v="47"/>
    <x v="2"/>
    <n v="2"/>
    <n v="300"/>
    <n v="138"/>
    <n v="600"/>
    <x v="0"/>
    <n v="2"/>
    <x v="10"/>
    <n v="24"/>
    <x v="2"/>
    <n v="1"/>
    <n v="462"/>
    <n v="0.77"/>
    <n v="1"/>
    <x v="2"/>
  </r>
  <r>
    <n v="1185"/>
    <d v="2022-10-04T00:00:00"/>
    <d v="1899-12-30T10:28:00"/>
    <n v="153"/>
    <x v="0"/>
    <x v="24"/>
    <x v="0"/>
    <n v="1"/>
    <n v="25"/>
    <n v="10.25"/>
    <n v="25"/>
    <x v="0"/>
    <n v="10"/>
    <x v="5"/>
    <n v="4"/>
    <x v="6"/>
    <n v="4"/>
    <n v="14.75"/>
    <n v="0.59"/>
    <n v="0"/>
    <x v="0"/>
  </r>
  <r>
    <n v="1433"/>
    <d v="2022-01-16T00:00:00"/>
    <d v="1899-12-30T11:41:00"/>
    <n v="113"/>
    <x v="0"/>
    <x v="33"/>
    <x v="1"/>
    <n v="4"/>
    <n v="50"/>
    <n v="15.5"/>
    <n v="200"/>
    <x v="0"/>
    <n v="1"/>
    <x v="3"/>
    <n v="16"/>
    <x v="5"/>
    <n v="1"/>
    <n v="184.5"/>
    <n v="0.92249999999999999"/>
    <n v="1"/>
    <x v="2"/>
  </r>
  <r>
    <n v="152"/>
    <d v="2022-06-16T00:00:00"/>
    <d v="1899-12-30T11:58:00"/>
    <n v="120"/>
    <x v="0"/>
    <x v="22"/>
    <x v="2"/>
    <n v="4"/>
    <n v="500"/>
    <n v="210"/>
    <n v="2000"/>
    <x v="0"/>
    <n v="6"/>
    <x v="11"/>
    <n v="16"/>
    <x v="2"/>
    <n v="2"/>
    <n v="1790"/>
    <n v="0.89500000000000002"/>
    <n v="1"/>
    <x v="3"/>
  </r>
  <r>
    <n v="753"/>
    <d v="2022-07-06T00:00:00"/>
    <d v="1899-12-30T10:07:00"/>
    <n v="70"/>
    <x v="1"/>
    <x v="37"/>
    <x v="0"/>
    <n v="1"/>
    <n v="30"/>
    <n v="15.9"/>
    <n v="30"/>
    <x v="0"/>
    <n v="7"/>
    <x v="1"/>
    <n v="6"/>
    <x v="4"/>
    <n v="3"/>
    <n v="14.1"/>
    <n v="0.47"/>
    <n v="0"/>
    <x v="1"/>
  </r>
  <r>
    <n v="763"/>
    <d v="2022-04-23T00:00:00"/>
    <d v="1899-12-30T09:43:00"/>
    <n v="58"/>
    <x v="0"/>
    <x v="23"/>
    <x v="0"/>
    <n v="2"/>
    <n v="25"/>
    <n v="11.5"/>
    <n v="50"/>
    <x v="0"/>
    <n v="4"/>
    <x v="6"/>
    <n v="23"/>
    <x v="0"/>
    <n v="2"/>
    <n v="38.5"/>
    <n v="0.77"/>
    <n v="0"/>
    <x v="3"/>
  </r>
  <r>
    <n v="932"/>
    <d v="2022-10-08T00:00:00"/>
    <d v="1899-12-30T08:33:00"/>
    <n v="120"/>
    <x v="1"/>
    <x v="14"/>
    <x v="1"/>
    <n v="4"/>
    <n v="25"/>
    <n v="7.75"/>
    <n v="100"/>
    <x v="0"/>
    <n v="10"/>
    <x v="5"/>
    <n v="8"/>
    <x v="0"/>
    <n v="4"/>
    <n v="92.25"/>
    <n v="0.92249999999999999"/>
    <n v="0"/>
    <x v="0"/>
  </r>
  <r>
    <n v="1152"/>
    <d v="2022-12-26T00:00:00"/>
    <d v="1899-12-30T07:48:00"/>
    <n v="87"/>
    <x v="0"/>
    <x v="22"/>
    <x v="2"/>
    <n v="4"/>
    <n v="500"/>
    <n v="170"/>
    <n v="2000"/>
    <x v="0"/>
    <n v="12"/>
    <x v="2"/>
    <n v="26"/>
    <x v="1"/>
    <n v="4"/>
    <n v="1830"/>
    <n v="0.91500000000000004"/>
    <n v="1"/>
    <x v="0"/>
  </r>
  <r>
    <n v="1753"/>
    <d v="2022-07-17T00:00:00"/>
    <d v="1899-12-30T07:40:00"/>
    <n v="28"/>
    <x v="1"/>
    <x v="37"/>
    <x v="0"/>
    <n v="1"/>
    <n v="30"/>
    <n v="10.5"/>
    <n v="30"/>
    <x v="0"/>
    <n v="7"/>
    <x v="1"/>
    <n v="17"/>
    <x v="5"/>
    <n v="3"/>
    <n v="19.5"/>
    <n v="0.65"/>
    <n v="0"/>
    <x v="1"/>
  </r>
  <r>
    <n v="1763"/>
    <d v="2022-06-30T00:00:00"/>
    <d v="1899-12-30T11:37:00"/>
    <n v="93"/>
    <x v="0"/>
    <x v="23"/>
    <x v="0"/>
    <n v="2"/>
    <n v="25"/>
    <n v="13.5"/>
    <n v="50"/>
    <x v="0"/>
    <n v="6"/>
    <x v="11"/>
    <n v="30"/>
    <x v="2"/>
    <n v="2"/>
    <n v="36.5"/>
    <n v="0.73"/>
    <n v="0"/>
    <x v="3"/>
  </r>
  <r>
    <n v="1932"/>
    <d v="2022-11-08T00:00:00"/>
    <d v="1899-12-30T07:07:00"/>
    <n v="96"/>
    <x v="1"/>
    <x v="14"/>
    <x v="1"/>
    <n v="4"/>
    <n v="25"/>
    <n v="6.25"/>
    <n v="100"/>
    <x v="0"/>
    <n v="11"/>
    <x v="0"/>
    <n v="8"/>
    <x v="6"/>
    <n v="4"/>
    <n v="93.75"/>
    <n v="0.9375"/>
    <n v="0"/>
    <x v="0"/>
  </r>
  <r>
    <n v="399"/>
    <d v="2022-12-07T00:00:00"/>
    <d v="1899-12-30T09:25:00"/>
    <n v="136"/>
    <x v="1"/>
    <x v="3"/>
    <x v="1"/>
    <n v="2"/>
    <n v="30"/>
    <n v="12.9"/>
    <n v="60"/>
    <x v="0"/>
    <n v="12"/>
    <x v="2"/>
    <n v="7"/>
    <x v="4"/>
    <n v="4"/>
    <n v="47.1"/>
    <n v="0.78500000000000003"/>
    <n v="0"/>
    <x v="0"/>
  </r>
  <r>
    <n v="500"/>
    <d v="2022-10-14T00:00:00"/>
    <d v="1899-12-30T06:11:00"/>
    <n v="120"/>
    <x v="1"/>
    <x v="13"/>
    <x v="1"/>
    <n v="4"/>
    <n v="25"/>
    <n v="11.5"/>
    <n v="100"/>
    <x v="0"/>
    <n v="10"/>
    <x v="5"/>
    <n v="14"/>
    <x v="3"/>
    <n v="4"/>
    <n v="88.5"/>
    <n v="0.88500000000000001"/>
    <n v="0"/>
    <x v="0"/>
  </r>
  <r>
    <n v="514"/>
    <d v="2022-11-04T00:00:00"/>
    <d v="1899-12-30T08:35:00"/>
    <n v="139"/>
    <x v="1"/>
    <x v="18"/>
    <x v="2"/>
    <n v="1"/>
    <n v="300"/>
    <n v="96"/>
    <n v="300"/>
    <x v="0"/>
    <n v="11"/>
    <x v="0"/>
    <n v="4"/>
    <x v="3"/>
    <n v="4"/>
    <n v="204"/>
    <n v="0.68"/>
    <n v="1"/>
    <x v="0"/>
  </r>
  <r>
    <n v="1399"/>
    <d v="2022-01-28T00:00:00"/>
    <d v="1899-12-30T09:32:00"/>
    <n v="15"/>
    <x v="1"/>
    <x v="3"/>
    <x v="1"/>
    <n v="2"/>
    <n v="30"/>
    <n v="16.2"/>
    <n v="60"/>
    <x v="0"/>
    <n v="1"/>
    <x v="3"/>
    <n v="28"/>
    <x v="3"/>
    <n v="1"/>
    <n v="43.8"/>
    <n v="0.73"/>
    <n v="0"/>
    <x v="2"/>
  </r>
  <r>
    <n v="1500"/>
    <d v="2022-04-20T00:00:00"/>
    <d v="1899-12-30T08:36:00"/>
    <n v="53"/>
    <x v="1"/>
    <x v="13"/>
    <x v="1"/>
    <n v="4"/>
    <n v="25"/>
    <n v="8.5"/>
    <n v="100"/>
    <x v="0"/>
    <n v="4"/>
    <x v="6"/>
    <n v="20"/>
    <x v="4"/>
    <n v="2"/>
    <n v="91.5"/>
    <n v="0.91500000000000004"/>
    <n v="0"/>
    <x v="3"/>
  </r>
  <r>
    <n v="1514"/>
    <d v="2022-07-12T00:00:00"/>
    <d v="1899-12-30T10:55:00"/>
    <n v="59"/>
    <x v="1"/>
    <x v="18"/>
    <x v="2"/>
    <n v="1"/>
    <n v="300"/>
    <n v="75"/>
    <n v="300"/>
    <x v="0"/>
    <n v="7"/>
    <x v="1"/>
    <n v="12"/>
    <x v="6"/>
    <n v="3"/>
    <n v="225"/>
    <n v="0.75"/>
    <n v="1"/>
    <x v="1"/>
  </r>
  <r>
    <n v="947"/>
    <d v="2022-07-31T00:00:00"/>
    <d v="1899-12-30T07:09:00"/>
    <n v="4"/>
    <x v="0"/>
    <x v="20"/>
    <x v="1"/>
    <n v="1"/>
    <n v="300"/>
    <n v="129"/>
    <n v="300"/>
    <x v="0"/>
    <n v="7"/>
    <x v="1"/>
    <n v="31"/>
    <x v="5"/>
    <n v="3"/>
    <n v="171"/>
    <n v="0.56999999999999995"/>
    <n v="1"/>
    <x v="1"/>
  </r>
  <r>
    <n v="1947"/>
    <d v="2022-03-05T00:00:00"/>
    <d v="1899-12-30T06:27:00"/>
    <n v="134"/>
    <x v="0"/>
    <x v="20"/>
    <x v="1"/>
    <n v="1"/>
    <n v="300"/>
    <n v="75"/>
    <n v="300"/>
    <x v="0"/>
    <n v="3"/>
    <x v="8"/>
    <n v="5"/>
    <x v="0"/>
    <n v="1"/>
    <n v="225"/>
    <n v="0.75"/>
    <n v="1"/>
    <x v="2"/>
  </r>
  <r>
    <n v="220"/>
    <d v="2022-05-07T00:00:00"/>
    <d v="1899-12-30T06:44:00"/>
    <n v="138"/>
    <x v="0"/>
    <x v="3"/>
    <x v="1"/>
    <n v="1"/>
    <n v="500"/>
    <n v="140"/>
    <n v="500"/>
    <x v="0"/>
    <n v="5"/>
    <x v="7"/>
    <n v="7"/>
    <x v="0"/>
    <n v="2"/>
    <n v="360"/>
    <n v="0.72"/>
    <n v="1"/>
    <x v="3"/>
  </r>
  <r>
    <n v="339"/>
    <d v="2022-08-18T00:00:00"/>
    <d v="1899-12-30T10:27:00"/>
    <n v="33"/>
    <x v="1"/>
    <x v="30"/>
    <x v="2"/>
    <n v="2"/>
    <n v="25"/>
    <n v="10.25"/>
    <n v="50"/>
    <x v="0"/>
    <n v="8"/>
    <x v="4"/>
    <n v="18"/>
    <x v="2"/>
    <n v="3"/>
    <n v="39.75"/>
    <n v="0.79500000000000004"/>
    <n v="0"/>
    <x v="1"/>
  </r>
  <r>
    <n v="785"/>
    <d v="2022-10-19T00:00:00"/>
    <d v="1899-12-30T06:09:00"/>
    <n v="88"/>
    <x v="1"/>
    <x v="16"/>
    <x v="1"/>
    <n v="4"/>
    <n v="50"/>
    <n v="13"/>
    <n v="200"/>
    <x v="0"/>
    <n v="10"/>
    <x v="5"/>
    <n v="19"/>
    <x v="4"/>
    <n v="4"/>
    <n v="187"/>
    <n v="0.93500000000000005"/>
    <n v="1"/>
    <x v="0"/>
  </r>
  <r>
    <n v="885"/>
    <d v="2022-09-17T00:00:00"/>
    <d v="1899-12-30T10:10:00"/>
    <n v="121"/>
    <x v="1"/>
    <x v="41"/>
    <x v="0"/>
    <n v="4"/>
    <n v="30"/>
    <n v="14.4"/>
    <n v="120"/>
    <x v="0"/>
    <n v="9"/>
    <x v="9"/>
    <n v="17"/>
    <x v="0"/>
    <n v="3"/>
    <n v="105.6"/>
    <n v="0.88"/>
    <n v="0"/>
    <x v="1"/>
  </r>
  <r>
    <n v="888"/>
    <d v="2022-12-01T00:00:00"/>
    <d v="1899-12-30T06:03:00"/>
    <n v="63"/>
    <x v="1"/>
    <x v="41"/>
    <x v="2"/>
    <n v="4"/>
    <n v="25"/>
    <n v="12.75"/>
    <n v="100"/>
    <x v="0"/>
    <n v="12"/>
    <x v="2"/>
    <n v="1"/>
    <x v="2"/>
    <n v="4"/>
    <n v="87.25"/>
    <n v="0.87250000000000005"/>
    <n v="0"/>
    <x v="0"/>
  </r>
  <r>
    <n v="1220"/>
    <d v="2022-06-29T00:00:00"/>
    <d v="1899-12-30T11:16:00"/>
    <n v="47"/>
    <x v="0"/>
    <x v="3"/>
    <x v="1"/>
    <n v="1"/>
    <n v="500"/>
    <n v="240"/>
    <n v="500"/>
    <x v="0"/>
    <n v="6"/>
    <x v="11"/>
    <n v="29"/>
    <x v="4"/>
    <n v="2"/>
    <n v="260"/>
    <n v="0.52"/>
    <n v="1"/>
    <x v="3"/>
  </r>
  <r>
    <n v="1339"/>
    <d v="2022-11-10T00:00:00"/>
    <d v="1899-12-30T10:34:00"/>
    <n v="132"/>
    <x v="1"/>
    <x v="30"/>
    <x v="2"/>
    <n v="2"/>
    <n v="25"/>
    <n v="7.5"/>
    <n v="50"/>
    <x v="0"/>
    <n v="11"/>
    <x v="0"/>
    <n v="10"/>
    <x v="2"/>
    <n v="4"/>
    <n v="42.5"/>
    <n v="0.85"/>
    <n v="0"/>
    <x v="0"/>
  </r>
  <r>
    <n v="1785"/>
    <d v="2022-02-20T00:00:00"/>
    <d v="1899-12-30T11:17:00"/>
    <n v="144"/>
    <x v="1"/>
    <x v="16"/>
    <x v="1"/>
    <n v="4"/>
    <n v="50"/>
    <n v="17"/>
    <n v="200"/>
    <x v="0"/>
    <n v="2"/>
    <x v="10"/>
    <n v="20"/>
    <x v="5"/>
    <n v="1"/>
    <n v="183"/>
    <n v="0.91500000000000004"/>
    <n v="1"/>
    <x v="2"/>
  </r>
  <r>
    <n v="1885"/>
    <d v="2022-11-09T00:00:00"/>
    <d v="1899-12-30T07:32:00"/>
    <n v="148"/>
    <x v="1"/>
    <x v="41"/>
    <x v="0"/>
    <n v="4"/>
    <n v="30"/>
    <n v="10.8"/>
    <n v="120"/>
    <x v="0"/>
    <n v="11"/>
    <x v="0"/>
    <n v="9"/>
    <x v="4"/>
    <n v="4"/>
    <n v="109.2"/>
    <n v="0.91"/>
    <n v="0"/>
    <x v="0"/>
  </r>
  <r>
    <n v="1888"/>
    <d v="2022-06-14T00:00:00"/>
    <d v="1899-12-30T08:10:00"/>
    <n v="49"/>
    <x v="1"/>
    <x v="41"/>
    <x v="2"/>
    <n v="4"/>
    <n v="25"/>
    <n v="12.5"/>
    <n v="100"/>
    <x v="0"/>
    <n v="6"/>
    <x v="11"/>
    <n v="14"/>
    <x v="6"/>
    <n v="2"/>
    <n v="87.5"/>
    <n v="0.875"/>
    <n v="0"/>
    <x v="3"/>
  </r>
  <r>
    <n v="621"/>
    <d v="2022-04-13T00:00:00"/>
    <d v="1899-12-30T09:55:00"/>
    <n v="138"/>
    <x v="1"/>
    <x v="2"/>
    <x v="1"/>
    <n v="2"/>
    <n v="500"/>
    <n v="275"/>
    <n v="1000"/>
    <x v="0"/>
    <n v="4"/>
    <x v="6"/>
    <n v="13"/>
    <x v="4"/>
    <n v="2"/>
    <n v="725"/>
    <n v="0.72499999999999998"/>
    <n v="1"/>
    <x v="3"/>
  </r>
  <r>
    <n v="1621"/>
    <d v="2022-09-22T00:00:00"/>
    <d v="1899-12-30T10:49:00"/>
    <n v="2"/>
    <x v="1"/>
    <x v="2"/>
    <x v="1"/>
    <n v="2"/>
    <n v="500"/>
    <n v="160"/>
    <n v="1000"/>
    <x v="0"/>
    <n v="9"/>
    <x v="9"/>
    <n v="22"/>
    <x v="2"/>
    <n v="3"/>
    <n v="840"/>
    <n v="0.84"/>
    <n v="1"/>
    <x v="1"/>
  </r>
  <r>
    <n v="52"/>
    <d v="2022-09-19T00:00:00"/>
    <d v="1899-12-30T09:42:00"/>
    <n v="55"/>
    <x v="1"/>
    <x v="31"/>
    <x v="1"/>
    <n v="1"/>
    <n v="300"/>
    <n v="111"/>
    <n v="300"/>
    <x v="0"/>
    <n v="9"/>
    <x v="9"/>
    <n v="19"/>
    <x v="1"/>
    <n v="3"/>
    <n v="189"/>
    <n v="0.63"/>
    <n v="1"/>
    <x v="1"/>
  </r>
  <r>
    <n v="536"/>
    <d v="2022-08-20T00:00:00"/>
    <d v="1899-12-30T06:25:00"/>
    <n v="17"/>
    <x v="1"/>
    <x v="46"/>
    <x v="1"/>
    <n v="4"/>
    <n v="30"/>
    <n v="8.6999999999999993"/>
    <n v="120"/>
    <x v="0"/>
    <n v="8"/>
    <x v="4"/>
    <n v="20"/>
    <x v="0"/>
    <n v="3"/>
    <n v="111.3"/>
    <n v="0.92749999999999999"/>
    <n v="0"/>
    <x v="1"/>
  </r>
  <r>
    <n v="1052"/>
    <d v="2022-02-12T00:00:00"/>
    <d v="1899-12-30T06:12:00"/>
    <n v="94"/>
    <x v="1"/>
    <x v="31"/>
    <x v="1"/>
    <n v="1"/>
    <n v="300"/>
    <n v="120"/>
    <n v="300"/>
    <x v="0"/>
    <n v="2"/>
    <x v="10"/>
    <n v="12"/>
    <x v="0"/>
    <n v="1"/>
    <n v="180"/>
    <n v="0.6"/>
    <n v="1"/>
    <x v="2"/>
  </r>
  <r>
    <n v="1536"/>
    <d v="2022-05-11T00:00:00"/>
    <d v="1899-12-30T07:23:00"/>
    <n v="14"/>
    <x v="1"/>
    <x v="46"/>
    <x v="1"/>
    <n v="4"/>
    <n v="30"/>
    <n v="13.5"/>
    <n v="120"/>
    <x v="0"/>
    <n v="5"/>
    <x v="7"/>
    <n v="11"/>
    <x v="4"/>
    <n v="2"/>
    <n v="106.5"/>
    <n v="0.88749999999999996"/>
    <n v="0"/>
    <x v="3"/>
  </r>
  <r>
    <n v="197"/>
    <d v="2022-04-03T00:00:00"/>
    <d v="1899-12-30T11:57:00"/>
    <n v="14"/>
    <x v="1"/>
    <x v="25"/>
    <x v="0"/>
    <n v="4"/>
    <n v="50"/>
    <n v="25.5"/>
    <n v="200"/>
    <x v="0"/>
    <n v="4"/>
    <x v="6"/>
    <n v="3"/>
    <x v="5"/>
    <n v="2"/>
    <n v="174.5"/>
    <n v="0.87250000000000005"/>
    <n v="1"/>
    <x v="3"/>
  </r>
  <r>
    <n v="750"/>
    <d v="2022-11-13T00:00:00"/>
    <d v="1899-12-30T07:33:00"/>
    <n v="69"/>
    <x v="1"/>
    <x v="39"/>
    <x v="0"/>
    <n v="3"/>
    <n v="25"/>
    <n v="8.75"/>
    <n v="75"/>
    <x v="0"/>
    <n v="11"/>
    <x v="0"/>
    <n v="13"/>
    <x v="5"/>
    <n v="4"/>
    <n v="66.25"/>
    <n v="0.88333333300000005"/>
    <n v="0"/>
    <x v="0"/>
  </r>
  <r>
    <n v="910"/>
    <d v="2022-08-21T00:00:00"/>
    <d v="1899-12-30T06:29:00"/>
    <n v="138"/>
    <x v="1"/>
    <x v="36"/>
    <x v="1"/>
    <n v="3"/>
    <n v="50"/>
    <n v="22.5"/>
    <n v="150"/>
    <x v="0"/>
    <n v="8"/>
    <x v="4"/>
    <n v="21"/>
    <x v="5"/>
    <n v="3"/>
    <n v="127.5"/>
    <n v="0.85"/>
    <n v="1"/>
    <x v="1"/>
  </r>
  <r>
    <n v="917"/>
    <d v="2022-02-15T00:00:00"/>
    <d v="1899-12-30T11:50:00"/>
    <n v="120"/>
    <x v="1"/>
    <x v="10"/>
    <x v="2"/>
    <n v="4"/>
    <n v="50"/>
    <n v="16.5"/>
    <n v="200"/>
    <x v="0"/>
    <n v="2"/>
    <x v="10"/>
    <n v="15"/>
    <x v="6"/>
    <n v="1"/>
    <n v="183.5"/>
    <n v="0.91749999999999998"/>
    <n v="1"/>
    <x v="2"/>
  </r>
  <r>
    <n v="1197"/>
    <d v="2022-08-13T00:00:00"/>
    <d v="1899-12-30T10:07:00"/>
    <n v="77"/>
    <x v="1"/>
    <x v="25"/>
    <x v="0"/>
    <n v="4"/>
    <n v="50"/>
    <n v="19"/>
    <n v="200"/>
    <x v="0"/>
    <n v="8"/>
    <x v="4"/>
    <n v="13"/>
    <x v="0"/>
    <n v="3"/>
    <n v="181"/>
    <n v="0.90500000000000003"/>
    <n v="1"/>
    <x v="1"/>
  </r>
  <r>
    <n v="1750"/>
    <d v="2022-01-20T00:00:00"/>
    <d v="1899-12-30T10:10:00"/>
    <n v="138"/>
    <x v="1"/>
    <x v="39"/>
    <x v="0"/>
    <n v="3"/>
    <n v="25"/>
    <n v="7.25"/>
    <n v="75"/>
    <x v="0"/>
    <n v="1"/>
    <x v="3"/>
    <n v="20"/>
    <x v="2"/>
    <n v="1"/>
    <n v="67.75"/>
    <n v="0.90333333299999996"/>
    <n v="0"/>
    <x v="2"/>
  </r>
  <r>
    <n v="1910"/>
    <d v="2022-10-09T00:00:00"/>
    <d v="1899-12-30T06:22:00"/>
    <n v="141"/>
    <x v="1"/>
    <x v="36"/>
    <x v="1"/>
    <n v="3"/>
    <n v="50"/>
    <n v="18"/>
    <n v="150"/>
    <x v="0"/>
    <n v="10"/>
    <x v="5"/>
    <n v="9"/>
    <x v="5"/>
    <n v="4"/>
    <n v="132"/>
    <n v="0.88"/>
    <n v="1"/>
    <x v="0"/>
  </r>
  <r>
    <n v="1917"/>
    <d v="2022-05-02T00:00:00"/>
    <d v="1899-12-30T07:17:00"/>
    <n v="52"/>
    <x v="1"/>
    <x v="10"/>
    <x v="2"/>
    <n v="4"/>
    <n v="50"/>
    <n v="24"/>
    <n v="200"/>
    <x v="0"/>
    <n v="5"/>
    <x v="7"/>
    <n v="2"/>
    <x v="1"/>
    <n v="2"/>
    <n v="176"/>
    <n v="0.88"/>
    <n v="1"/>
    <x v="3"/>
  </r>
  <r>
    <n v="198"/>
    <d v="2022-05-21T00:00:00"/>
    <d v="1899-12-30T11:42:00"/>
    <n v="30"/>
    <x v="1"/>
    <x v="29"/>
    <x v="1"/>
    <n v="3"/>
    <n v="300"/>
    <n v="114"/>
    <n v="900"/>
    <x v="0"/>
    <n v="5"/>
    <x v="7"/>
    <n v="21"/>
    <x v="0"/>
    <n v="2"/>
    <n v="786"/>
    <n v="0.87333333300000004"/>
    <n v="1"/>
    <x v="3"/>
  </r>
  <r>
    <n v="444"/>
    <d v="2022-10-06T00:00:00"/>
    <d v="1899-12-30T07:06:00"/>
    <n v="51"/>
    <x v="1"/>
    <x v="45"/>
    <x v="0"/>
    <n v="3"/>
    <n v="30"/>
    <n v="15.9"/>
    <n v="90"/>
    <x v="0"/>
    <n v="10"/>
    <x v="5"/>
    <n v="6"/>
    <x v="2"/>
    <n v="4"/>
    <n v="74.099999999999994"/>
    <n v="0.823333333"/>
    <n v="0"/>
    <x v="0"/>
  </r>
  <r>
    <n v="547"/>
    <d v="2022-11-14T00:00:00"/>
    <d v="1899-12-30T07:36:00"/>
    <n v="3"/>
    <x v="0"/>
    <x v="15"/>
    <x v="0"/>
    <n v="4"/>
    <n v="500"/>
    <n v="250"/>
    <n v="2000"/>
    <x v="0"/>
    <n v="11"/>
    <x v="0"/>
    <n v="14"/>
    <x v="1"/>
    <n v="4"/>
    <n v="1750"/>
    <n v="0.875"/>
    <n v="1"/>
    <x v="0"/>
  </r>
  <r>
    <n v="705"/>
    <d v="2022-09-30T00:00:00"/>
    <d v="1899-12-30T07:28:00"/>
    <n v="37"/>
    <x v="0"/>
    <x v="13"/>
    <x v="2"/>
    <n v="2"/>
    <n v="25"/>
    <n v="6.25"/>
    <n v="50"/>
    <x v="0"/>
    <n v="9"/>
    <x v="9"/>
    <n v="30"/>
    <x v="3"/>
    <n v="3"/>
    <n v="43.75"/>
    <n v="0.875"/>
    <n v="0"/>
    <x v="1"/>
  </r>
  <r>
    <n v="1198"/>
    <d v="2022-08-07T00:00:00"/>
    <d v="1899-12-30T10:43:00"/>
    <n v="147"/>
    <x v="1"/>
    <x v="29"/>
    <x v="1"/>
    <n v="3"/>
    <n v="300"/>
    <n v="159"/>
    <n v="900"/>
    <x v="0"/>
    <n v="8"/>
    <x v="4"/>
    <n v="7"/>
    <x v="5"/>
    <n v="3"/>
    <n v="741"/>
    <n v="0.823333333"/>
    <n v="1"/>
    <x v="1"/>
  </r>
  <r>
    <n v="1444"/>
    <d v="2022-04-29T00:00:00"/>
    <d v="1899-12-30T06:18:00"/>
    <n v="135"/>
    <x v="1"/>
    <x v="45"/>
    <x v="0"/>
    <n v="3"/>
    <n v="30"/>
    <n v="14.1"/>
    <n v="90"/>
    <x v="0"/>
    <n v="4"/>
    <x v="6"/>
    <n v="29"/>
    <x v="3"/>
    <n v="2"/>
    <n v="75.900000000000006"/>
    <n v="0.84333333300000002"/>
    <n v="0"/>
    <x v="3"/>
  </r>
  <r>
    <n v="1547"/>
    <d v="2022-08-11T00:00:00"/>
    <d v="1899-12-30T06:39:00"/>
    <n v="142"/>
    <x v="0"/>
    <x v="15"/>
    <x v="0"/>
    <n v="4"/>
    <n v="500"/>
    <n v="235"/>
    <n v="2000"/>
    <x v="0"/>
    <n v="8"/>
    <x v="4"/>
    <n v="11"/>
    <x v="2"/>
    <n v="3"/>
    <n v="1765"/>
    <n v="0.88249999999999995"/>
    <n v="1"/>
    <x v="1"/>
  </r>
  <r>
    <n v="1705"/>
    <d v="2022-08-14T00:00:00"/>
    <d v="1899-12-30T08:32:00"/>
    <n v="94"/>
    <x v="0"/>
    <x v="13"/>
    <x v="2"/>
    <n v="2"/>
    <n v="25"/>
    <n v="8.75"/>
    <n v="50"/>
    <x v="0"/>
    <n v="8"/>
    <x v="4"/>
    <n v="14"/>
    <x v="5"/>
    <n v="3"/>
    <n v="41.25"/>
    <n v="0.82499999999999996"/>
    <n v="0"/>
    <x v="1"/>
  </r>
  <r>
    <n v="423"/>
    <d v="2022-07-18T00:00:00"/>
    <d v="1899-12-30T06:06:00"/>
    <n v="41"/>
    <x v="1"/>
    <x v="17"/>
    <x v="0"/>
    <n v="1"/>
    <n v="25"/>
    <n v="11.75"/>
    <n v="25"/>
    <x v="0"/>
    <n v="7"/>
    <x v="1"/>
    <n v="18"/>
    <x v="1"/>
    <n v="3"/>
    <n v="13.25"/>
    <n v="0.53"/>
    <n v="0"/>
    <x v="1"/>
  </r>
  <r>
    <n v="1423"/>
    <d v="2022-06-15T00:00:00"/>
    <d v="1899-12-30T07:56:00"/>
    <n v="131"/>
    <x v="1"/>
    <x v="17"/>
    <x v="0"/>
    <n v="1"/>
    <n v="25"/>
    <n v="11"/>
    <n v="25"/>
    <x v="0"/>
    <n v="6"/>
    <x v="11"/>
    <n v="15"/>
    <x v="4"/>
    <n v="2"/>
    <n v="14"/>
    <n v="0.56000000000000005"/>
    <n v="0"/>
    <x v="3"/>
  </r>
  <r>
    <n v="248"/>
    <d v="2022-07-02T00:00:00"/>
    <d v="1899-12-30T07:11:00"/>
    <n v="5"/>
    <x v="0"/>
    <x v="6"/>
    <x v="0"/>
    <n v="3"/>
    <n v="300"/>
    <n v="126"/>
    <n v="900"/>
    <x v="0"/>
    <n v="7"/>
    <x v="1"/>
    <n v="2"/>
    <x v="0"/>
    <n v="3"/>
    <n v="774"/>
    <n v="0.86"/>
    <n v="1"/>
    <x v="1"/>
  </r>
  <r>
    <n v="360"/>
    <d v="2022-09-09T00:00:00"/>
    <d v="1899-12-30T09:04:00"/>
    <n v="26"/>
    <x v="0"/>
    <x v="25"/>
    <x v="0"/>
    <n v="4"/>
    <n v="25"/>
    <n v="10.5"/>
    <n v="100"/>
    <x v="0"/>
    <n v="9"/>
    <x v="9"/>
    <n v="9"/>
    <x v="3"/>
    <n v="3"/>
    <n v="89.5"/>
    <n v="0.89500000000000002"/>
    <n v="0"/>
    <x v="1"/>
  </r>
  <r>
    <n v="377"/>
    <d v="2022-09-13T00:00:00"/>
    <d v="1899-12-30T08:30:00"/>
    <n v="141"/>
    <x v="1"/>
    <x v="1"/>
    <x v="0"/>
    <n v="4"/>
    <n v="50"/>
    <n v="18"/>
    <n v="200"/>
    <x v="0"/>
    <n v="9"/>
    <x v="9"/>
    <n v="13"/>
    <x v="6"/>
    <n v="3"/>
    <n v="182"/>
    <n v="0.91"/>
    <n v="1"/>
    <x v="1"/>
  </r>
  <r>
    <n v="1248"/>
    <d v="2022-09-08T00:00:00"/>
    <d v="1899-12-30T08:20:00"/>
    <n v="68"/>
    <x v="0"/>
    <x v="6"/>
    <x v="0"/>
    <n v="3"/>
    <n v="300"/>
    <n v="111"/>
    <n v="900"/>
    <x v="0"/>
    <n v="9"/>
    <x v="9"/>
    <n v="8"/>
    <x v="2"/>
    <n v="3"/>
    <n v="789"/>
    <n v="0.87666666699999996"/>
    <n v="1"/>
    <x v="1"/>
  </r>
  <r>
    <n v="1360"/>
    <d v="2022-06-18T00:00:00"/>
    <d v="1899-12-30T09:31:00"/>
    <n v="93"/>
    <x v="0"/>
    <x v="25"/>
    <x v="0"/>
    <n v="4"/>
    <n v="25"/>
    <n v="6.25"/>
    <n v="100"/>
    <x v="0"/>
    <n v="6"/>
    <x v="11"/>
    <n v="18"/>
    <x v="0"/>
    <n v="2"/>
    <n v="93.75"/>
    <n v="0.9375"/>
    <n v="0"/>
    <x v="3"/>
  </r>
  <r>
    <n v="1377"/>
    <d v="2022-03-21T00:00:00"/>
    <d v="1899-12-30T07:52:00"/>
    <n v="71"/>
    <x v="1"/>
    <x v="1"/>
    <x v="0"/>
    <n v="4"/>
    <n v="50"/>
    <n v="14"/>
    <n v="200"/>
    <x v="0"/>
    <n v="3"/>
    <x v="8"/>
    <n v="21"/>
    <x v="1"/>
    <n v="1"/>
    <n v="186"/>
    <n v="0.93"/>
    <n v="1"/>
    <x v="2"/>
  </r>
  <r>
    <n v="397"/>
    <d v="2023-10-26T00:00:00"/>
    <d v="1899-12-30T08:06:00"/>
    <n v="59"/>
    <x v="1"/>
    <x v="7"/>
    <x v="1"/>
    <n v="1"/>
    <n v="25"/>
    <n v="10.5"/>
    <n v="25"/>
    <x v="1"/>
    <n v="10"/>
    <x v="5"/>
    <n v="26"/>
    <x v="2"/>
    <n v="4"/>
    <n v="14.5"/>
    <n v="0.57999999999999996"/>
    <n v="0"/>
    <x v="0"/>
  </r>
  <r>
    <n v="623"/>
    <d v="2023-11-15T00:00:00"/>
    <d v="1899-12-30T10:00:00"/>
    <n v="39"/>
    <x v="0"/>
    <x v="23"/>
    <x v="0"/>
    <n v="3"/>
    <n v="50"/>
    <n v="26"/>
    <n v="150"/>
    <x v="1"/>
    <n v="11"/>
    <x v="0"/>
    <n v="15"/>
    <x v="4"/>
    <n v="4"/>
    <n v="124"/>
    <n v="0.82666666700000002"/>
    <n v="1"/>
    <x v="0"/>
  </r>
  <r>
    <n v="1397"/>
    <d v="2023-01-01T00:00:00"/>
    <d v="1899-12-30T11:05:00"/>
    <n v="6"/>
    <x v="1"/>
    <x v="7"/>
    <x v="1"/>
    <n v="1"/>
    <n v="25"/>
    <n v="11.75"/>
    <n v="25"/>
    <x v="1"/>
    <n v="1"/>
    <x v="3"/>
    <n v="1"/>
    <x v="5"/>
    <n v="1"/>
    <n v="13.25"/>
    <n v="0.53"/>
    <n v="0"/>
    <x v="2"/>
  </r>
  <r>
    <n v="1623"/>
    <d v="2023-03-05T00:00:00"/>
    <d v="1899-12-30T06:14:00"/>
    <n v="76"/>
    <x v="0"/>
    <x v="23"/>
    <x v="0"/>
    <n v="3"/>
    <n v="50"/>
    <n v="22"/>
    <n v="150"/>
    <x v="1"/>
    <n v="3"/>
    <x v="8"/>
    <n v="5"/>
    <x v="5"/>
    <n v="1"/>
    <n v="128"/>
    <n v="0.85333333300000003"/>
    <n v="1"/>
    <x v="2"/>
  </r>
  <r>
    <n v="717"/>
    <d v="2023-11-30T00:00:00"/>
    <d v="1899-12-30T08:15:00"/>
    <n v="8"/>
    <x v="0"/>
    <x v="10"/>
    <x v="0"/>
    <n v="1"/>
    <n v="500"/>
    <n v="190"/>
    <n v="500"/>
    <x v="1"/>
    <n v="11"/>
    <x v="0"/>
    <n v="30"/>
    <x v="2"/>
    <n v="4"/>
    <n v="310"/>
    <n v="0.62"/>
    <n v="1"/>
    <x v="0"/>
  </r>
  <r>
    <n v="1717"/>
    <d v="2023-01-12T00:00:00"/>
    <d v="1899-12-30T09:40:00"/>
    <n v="21"/>
    <x v="0"/>
    <x v="10"/>
    <x v="0"/>
    <n v="1"/>
    <n v="500"/>
    <n v="175"/>
    <n v="500"/>
    <x v="1"/>
    <n v="1"/>
    <x v="3"/>
    <n v="12"/>
    <x v="2"/>
    <n v="1"/>
    <n v="325"/>
    <n v="0.65"/>
    <n v="1"/>
    <x v="2"/>
  </r>
  <r>
    <n v="130"/>
    <d v="2023-06-19T00:00:00"/>
    <d v="1899-12-30T06:21:00"/>
    <n v="114"/>
    <x v="1"/>
    <x v="10"/>
    <x v="0"/>
    <n v="1"/>
    <n v="500"/>
    <n v="125"/>
    <n v="500"/>
    <x v="1"/>
    <n v="6"/>
    <x v="11"/>
    <n v="19"/>
    <x v="1"/>
    <n v="2"/>
    <n v="375"/>
    <n v="0.75"/>
    <n v="1"/>
    <x v="3"/>
  </r>
  <r>
    <n v="658"/>
    <d v="2023-10-30T00:00:00"/>
    <d v="1899-12-30T07:47:00"/>
    <n v="93"/>
    <x v="0"/>
    <x v="26"/>
    <x v="0"/>
    <n v="1"/>
    <n v="25"/>
    <n v="6.5"/>
    <n v="25"/>
    <x v="1"/>
    <n v="10"/>
    <x v="5"/>
    <n v="30"/>
    <x v="1"/>
    <n v="4"/>
    <n v="18.5"/>
    <n v="0.74"/>
    <n v="0"/>
    <x v="0"/>
  </r>
  <r>
    <n v="1130"/>
    <d v="2023-02-20T00:00:00"/>
    <d v="1899-12-30T09:03:00"/>
    <n v="28"/>
    <x v="1"/>
    <x v="10"/>
    <x v="0"/>
    <n v="1"/>
    <n v="500"/>
    <n v="180"/>
    <n v="500"/>
    <x v="1"/>
    <n v="2"/>
    <x v="10"/>
    <n v="20"/>
    <x v="1"/>
    <n v="1"/>
    <n v="320"/>
    <n v="0.64"/>
    <n v="1"/>
    <x v="2"/>
  </r>
  <r>
    <n v="1658"/>
    <d v="2023-04-10T00:00:00"/>
    <d v="1899-12-30T06:08:00"/>
    <n v="148"/>
    <x v="0"/>
    <x v="26"/>
    <x v="0"/>
    <n v="1"/>
    <n v="25"/>
    <n v="12.25"/>
    <n v="25"/>
    <x v="1"/>
    <n v="4"/>
    <x v="6"/>
    <n v="10"/>
    <x v="1"/>
    <n v="2"/>
    <n v="12.75"/>
    <n v="0.51"/>
    <n v="0"/>
    <x v="3"/>
  </r>
  <r>
    <n v="7"/>
    <d v="2023-07-06T00:00:00"/>
    <d v="1899-12-30T06:24:00"/>
    <n v="38"/>
    <x v="0"/>
    <x v="1"/>
    <x v="0"/>
    <n v="2"/>
    <n v="25"/>
    <n v="13.25"/>
    <n v="50"/>
    <x v="1"/>
    <n v="7"/>
    <x v="1"/>
    <n v="6"/>
    <x v="2"/>
    <n v="3"/>
    <n v="36.75"/>
    <n v="0.73499999999999999"/>
    <n v="0"/>
    <x v="1"/>
  </r>
  <r>
    <n v="119"/>
    <d v="2023-09-01T00:00:00"/>
    <d v="1899-12-30T09:11:00"/>
    <n v="127"/>
    <x v="1"/>
    <x v="13"/>
    <x v="0"/>
    <n v="3"/>
    <n v="50"/>
    <n v="27.5"/>
    <n v="150"/>
    <x v="1"/>
    <n v="9"/>
    <x v="9"/>
    <n v="1"/>
    <x v="3"/>
    <n v="3"/>
    <n v="122.5"/>
    <n v="0.81666666700000001"/>
    <n v="1"/>
    <x v="1"/>
  </r>
  <r>
    <n v="278"/>
    <d v="2023-12-22T00:00:00"/>
    <d v="1899-12-30T11:42:00"/>
    <n v="71"/>
    <x v="1"/>
    <x v="5"/>
    <x v="0"/>
    <n v="4"/>
    <n v="25"/>
    <n v="13.5"/>
    <n v="100"/>
    <x v="1"/>
    <n v="12"/>
    <x v="2"/>
    <n v="22"/>
    <x v="3"/>
    <n v="4"/>
    <n v="86.5"/>
    <n v="0.86499999999999999"/>
    <n v="0"/>
    <x v="0"/>
  </r>
  <r>
    <n v="1007"/>
    <d v="2023-06-09T00:00:00"/>
    <d v="1899-12-30T10:09:00"/>
    <n v="15"/>
    <x v="0"/>
    <x v="1"/>
    <x v="0"/>
    <n v="2"/>
    <n v="25"/>
    <n v="11.5"/>
    <n v="50"/>
    <x v="1"/>
    <n v="6"/>
    <x v="11"/>
    <n v="9"/>
    <x v="3"/>
    <n v="2"/>
    <n v="38.5"/>
    <n v="0.77"/>
    <n v="0"/>
    <x v="3"/>
  </r>
  <r>
    <n v="1119"/>
    <d v="2023-11-19T00:00:00"/>
    <d v="1899-12-30T09:36:00"/>
    <n v="1"/>
    <x v="1"/>
    <x v="13"/>
    <x v="0"/>
    <n v="3"/>
    <n v="50"/>
    <n v="25.5"/>
    <n v="150"/>
    <x v="1"/>
    <n v="11"/>
    <x v="0"/>
    <n v="19"/>
    <x v="5"/>
    <n v="4"/>
    <n v="124.5"/>
    <n v="0.83"/>
    <n v="1"/>
    <x v="0"/>
  </r>
  <r>
    <n v="1278"/>
    <d v="2023-07-19T00:00:00"/>
    <d v="1899-12-30T06:19:00"/>
    <n v="28"/>
    <x v="1"/>
    <x v="5"/>
    <x v="0"/>
    <n v="4"/>
    <n v="25"/>
    <n v="6.75"/>
    <n v="100"/>
    <x v="1"/>
    <n v="7"/>
    <x v="1"/>
    <n v="19"/>
    <x v="4"/>
    <n v="3"/>
    <n v="93.25"/>
    <n v="0.9325"/>
    <n v="0"/>
    <x v="1"/>
  </r>
  <r>
    <n v="117"/>
    <d v="2023-08-04T00:00:00"/>
    <d v="1899-12-30T11:38:00"/>
    <n v="8"/>
    <x v="0"/>
    <x v="4"/>
    <x v="2"/>
    <n v="2"/>
    <n v="500"/>
    <n v="230"/>
    <n v="1000"/>
    <x v="1"/>
    <n v="8"/>
    <x v="4"/>
    <n v="4"/>
    <x v="3"/>
    <n v="3"/>
    <n v="770"/>
    <n v="0.77"/>
    <n v="1"/>
    <x v="1"/>
  </r>
  <r>
    <n v="1117"/>
    <d v="2023-09-11T00:00:00"/>
    <d v="1899-12-30T07:48:00"/>
    <n v="144"/>
    <x v="0"/>
    <x v="4"/>
    <x v="2"/>
    <n v="2"/>
    <n v="500"/>
    <n v="210"/>
    <n v="1000"/>
    <x v="1"/>
    <n v="9"/>
    <x v="9"/>
    <n v="11"/>
    <x v="1"/>
    <n v="3"/>
    <n v="790"/>
    <n v="0.79"/>
    <n v="1"/>
    <x v="1"/>
  </r>
  <r>
    <n v="442"/>
    <d v="2023-06-30T00:00:00"/>
    <d v="1899-12-30T11:07:00"/>
    <n v="24"/>
    <x v="1"/>
    <x v="13"/>
    <x v="0"/>
    <n v="4"/>
    <n v="25"/>
    <n v="13.25"/>
    <n v="100"/>
    <x v="1"/>
    <n v="6"/>
    <x v="11"/>
    <n v="30"/>
    <x v="3"/>
    <n v="2"/>
    <n v="86.75"/>
    <n v="0.86750000000000005"/>
    <n v="0"/>
    <x v="3"/>
  </r>
  <r>
    <n v="590"/>
    <d v="2023-05-04T00:00:00"/>
    <d v="1899-12-30T11:52:00"/>
    <n v="151"/>
    <x v="0"/>
    <x v="31"/>
    <x v="0"/>
    <n v="3"/>
    <n v="300"/>
    <n v="135"/>
    <n v="900"/>
    <x v="1"/>
    <n v="5"/>
    <x v="7"/>
    <n v="4"/>
    <x v="2"/>
    <n v="2"/>
    <n v="765"/>
    <n v="0.85"/>
    <n v="1"/>
    <x v="3"/>
  </r>
  <r>
    <n v="607"/>
    <d v="2023-05-05T00:00:00"/>
    <d v="1899-12-30T09:33:00"/>
    <n v="109"/>
    <x v="0"/>
    <x v="29"/>
    <x v="0"/>
    <n v="3"/>
    <n v="25"/>
    <n v="13.25"/>
    <n v="75"/>
    <x v="1"/>
    <n v="5"/>
    <x v="7"/>
    <n v="5"/>
    <x v="3"/>
    <n v="2"/>
    <n v="61.75"/>
    <n v="0.823333333"/>
    <n v="0"/>
    <x v="3"/>
  </r>
  <r>
    <n v="1442"/>
    <d v="2023-02-16T00:00:00"/>
    <d v="1899-12-30T11:02:00"/>
    <n v="96"/>
    <x v="1"/>
    <x v="13"/>
    <x v="0"/>
    <n v="4"/>
    <n v="25"/>
    <n v="11.25"/>
    <n v="100"/>
    <x v="1"/>
    <n v="2"/>
    <x v="10"/>
    <n v="16"/>
    <x v="2"/>
    <n v="1"/>
    <n v="88.75"/>
    <n v="0.88749999999999996"/>
    <n v="0"/>
    <x v="2"/>
  </r>
  <r>
    <n v="1590"/>
    <d v="2023-08-10T00:00:00"/>
    <d v="1899-12-30T09:39:00"/>
    <n v="142"/>
    <x v="0"/>
    <x v="31"/>
    <x v="0"/>
    <n v="3"/>
    <n v="300"/>
    <n v="147"/>
    <n v="900"/>
    <x v="1"/>
    <n v="8"/>
    <x v="4"/>
    <n v="10"/>
    <x v="2"/>
    <n v="3"/>
    <n v="753"/>
    <n v="0.83666666700000003"/>
    <n v="1"/>
    <x v="1"/>
  </r>
  <r>
    <n v="1607"/>
    <d v="2023-01-16T00:00:00"/>
    <d v="1899-12-30T10:18:00"/>
    <n v="53"/>
    <x v="0"/>
    <x v="29"/>
    <x v="0"/>
    <n v="3"/>
    <n v="25"/>
    <n v="7.75"/>
    <n v="75"/>
    <x v="1"/>
    <n v="1"/>
    <x v="3"/>
    <n v="16"/>
    <x v="1"/>
    <n v="1"/>
    <n v="67.25"/>
    <n v="0.89666666699999997"/>
    <n v="0"/>
    <x v="2"/>
  </r>
  <r>
    <n v="436"/>
    <d v="2023-10-22T00:00:00"/>
    <d v="1899-12-30T11:54:00"/>
    <n v="21"/>
    <x v="1"/>
    <x v="10"/>
    <x v="0"/>
    <n v="4"/>
    <n v="30"/>
    <n v="13.5"/>
    <n v="120"/>
    <x v="1"/>
    <n v="10"/>
    <x v="5"/>
    <n v="22"/>
    <x v="5"/>
    <n v="4"/>
    <n v="106.5"/>
    <n v="0.88749999999999996"/>
    <n v="0"/>
    <x v="0"/>
  </r>
  <r>
    <n v="942"/>
    <d v="2023-12-01T00:00:00"/>
    <d v="1899-12-30T09:22:00"/>
    <n v="35"/>
    <x v="0"/>
    <x v="12"/>
    <x v="0"/>
    <n v="3"/>
    <n v="500"/>
    <n v="160"/>
    <n v="1500"/>
    <x v="1"/>
    <n v="12"/>
    <x v="2"/>
    <n v="1"/>
    <x v="3"/>
    <n v="4"/>
    <n v="1340"/>
    <n v="0.89333333299999995"/>
    <n v="1"/>
    <x v="0"/>
  </r>
  <r>
    <n v="1436"/>
    <d v="2023-01-20T00:00:00"/>
    <d v="1899-12-30T11:29:00"/>
    <n v="1"/>
    <x v="1"/>
    <x v="10"/>
    <x v="0"/>
    <n v="4"/>
    <n v="30"/>
    <n v="9.9"/>
    <n v="120"/>
    <x v="1"/>
    <n v="1"/>
    <x v="3"/>
    <n v="20"/>
    <x v="3"/>
    <n v="1"/>
    <n v="110.1"/>
    <n v="0.91749999999999998"/>
    <n v="0"/>
    <x v="2"/>
  </r>
  <r>
    <n v="1942"/>
    <d v="2023-09-16T00:00:00"/>
    <d v="1899-12-30T11:53:00"/>
    <n v="112"/>
    <x v="0"/>
    <x v="12"/>
    <x v="0"/>
    <n v="3"/>
    <n v="500"/>
    <n v="265"/>
    <n v="1500"/>
    <x v="1"/>
    <n v="9"/>
    <x v="9"/>
    <n v="16"/>
    <x v="0"/>
    <n v="3"/>
    <n v="1235"/>
    <n v="0.823333333"/>
    <n v="1"/>
    <x v="1"/>
  </r>
  <r>
    <n v="659"/>
    <d v="2023-06-09T00:00:00"/>
    <d v="1899-12-30T06:08:00"/>
    <n v="75"/>
    <x v="1"/>
    <x v="27"/>
    <x v="2"/>
    <n v="1"/>
    <n v="30"/>
    <n v="8.1"/>
    <n v="30"/>
    <x v="1"/>
    <n v="6"/>
    <x v="11"/>
    <n v="9"/>
    <x v="3"/>
    <n v="2"/>
    <n v="21.9"/>
    <n v="0.73"/>
    <n v="0"/>
    <x v="3"/>
  </r>
  <r>
    <n v="941"/>
    <d v="2023-04-28T00:00:00"/>
    <d v="1899-12-30T09:58:00"/>
    <n v="39"/>
    <x v="1"/>
    <x v="10"/>
    <x v="0"/>
    <n v="2"/>
    <n v="25"/>
    <n v="6.5"/>
    <n v="50"/>
    <x v="1"/>
    <n v="4"/>
    <x v="6"/>
    <n v="28"/>
    <x v="3"/>
    <n v="2"/>
    <n v="43.5"/>
    <n v="0.87"/>
    <n v="0"/>
    <x v="3"/>
  </r>
  <r>
    <n v="1659"/>
    <d v="2023-07-27T00:00:00"/>
    <d v="1899-12-30T09:29:00"/>
    <n v="22"/>
    <x v="1"/>
    <x v="27"/>
    <x v="2"/>
    <n v="1"/>
    <n v="30"/>
    <n v="9"/>
    <n v="30"/>
    <x v="1"/>
    <n v="7"/>
    <x v="1"/>
    <n v="27"/>
    <x v="2"/>
    <n v="3"/>
    <n v="21"/>
    <n v="0.7"/>
    <n v="0"/>
    <x v="1"/>
  </r>
  <r>
    <n v="1941"/>
    <d v="2023-01-06T00:00:00"/>
    <d v="1899-12-30T06:14:00"/>
    <n v="48"/>
    <x v="1"/>
    <x v="10"/>
    <x v="0"/>
    <n v="2"/>
    <n v="25"/>
    <n v="12"/>
    <n v="50"/>
    <x v="1"/>
    <n v="1"/>
    <x v="3"/>
    <n v="6"/>
    <x v="3"/>
    <n v="1"/>
    <n v="38"/>
    <n v="0.76"/>
    <n v="0"/>
    <x v="2"/>
  </r>
  <r>
    <n v="136"/>
    <d v="2023-12-26T00:00:00"/>
    <d v="1899-12-30T08:59:00"/>
    <n v="25"/>
    <x v="0"/>
    <x v="47"/>
    <x v="2"/>
    <n v="2"/>
    <n v="300"/>
    <n v="141"/>
    <n v="600"/>
    <x v="1"/>
    <n v="12"/>
    <x v="2"/>
    <n v="26"/>
    <x v="6"/>
    <n v="4"/>
    <n v="459"/>
    <n v="0.76500000000000001"/>
    <n v="1"/>
    <x v="0"/>
  </r>
  <r>
    <n v="175"/>
    <d v="2023-01-25T00:00:00"/>
    <d v="1899-12-30T10:02:00"/>
    <n v="23"/>
    <x v="1"/>
    <x v="16"/>
    <x v="2"/>
    <n v="4"/>
    <n v="25"/>
    <n v="12.5"/>
    <n v="100"/>
    <x v="1"/>
    <n v="1"/>
    <x v="3"/>
    <n v="25"/>
    <x v="4"/>
    <n v="1"/>
    <n v="87.5"/>
    <n v="0.875"/>
    <n v="0"/>
    <x v="2"/>
  </r>
  <r>
    <n v="663"/>
    <d v="2023-08-16T00:00:00"/>
    <d v="1899-12-30T06:32:00"/>
    <n v="133"/>
    <x v="0"/>
    <x v="8"/>
    <x v="0"/>
    <n v="4"/>
    <n v="300"/>
    <n v="87"/>
    <n v="1200"/>
    <x v="1"/>
    <n v="8"/>
    <x v="4"/>
    <n v="16"/>
    <x v="4"/>
    <n v="3"/>
    <n v="1113"/>
    <n v="0.92749999999999999"/>
    <n v="1"/>
    <x v="1"/>
  </r>
  <r>
    <n v="748"/>
    <d v="2023-03-01T00:00:00"/>
    <d v="1899-12-30T09:35:00"/>
    <n v="132"/>
    <x v="0"/>
    <x v="38"/>
    <x v="0"/>
    <n v="3"/>
    <n v="50"/>
    <n v="24"/>
    <n v="150"/>
    <x v="1"/>
    <n v="3"/>
    <x v="8"/>
    <n v="1"/>
    <x v="4"/>
    <n v="1"/>
    <n v="126"/>
    <n v="0.84"/>
    <n v="1"/>
    <x v="2"/>
  </r>
  <r>
    <n v="806"/>
    <d v="2023-01-22T00:00:00"/>
    <d v="1899-12-30T08:08:00"/>
    <n v="14"/>
    <x v="1"/>
    <x v="39"/>
    <x v="1"/>
    <n v="3"/>
    <n v="300"/>
    <n v="165"/>
    <n v="900"/>
    <x v="1"/>
    <n v="1"/>
    <x v="3"/>
    <n v="22"/>
    <x v="5"/>
    <n v="1"/>
    <n v="735"/>
    <n v="0.81666666700000001"/>
    <n v="1"/>
    <x v="2"/>
  </r>
  <r>
    <n v="1136"/>
    <d v="2023-07-02T00:00:00"/>
    <d v="1899-12-30T08:41:00"/>
    <n v="93"/>
    <x v="0"/>
    <x v="47"/>
    <x v="2"/>
    <n v="2"/>
    <n v="300"/>
    <n v="81"/>
    <n v="600"/>
    <x v="1"/>
    <n v="7"/>
    <x v="1"/>
    <n v="2"/>
    <x v="5"/>
    <n v="3"/>
    <n v="519"/>
    <n v="0.86499999999999999"/>
    <n v="1"/>
    <x v="1"/>
  </r>
  <r>
    <n v="1175"/>
    <d v="2023-06-02T00:00:00"/>
    <d v="1899-12-30T06:38:00"/>
    <n v="103"/>
    <x v="1"/>
    <x v="16"/>
    <x v="2"/>
    <n v="4"/>
    <n v="25"/>
    <n v="11.5"/>
    <n v="100"/>
    <x v="1"/>
    <n v="6"/>
    <x v="11"/>
    <n v="2"/>
    <x v="3"/>
    <n v="2"/>
    <n v="88.5"/>
    <n v="0.88500000000000001"/>
    <n v="0"/>
    <x v="3"/>
  </r>
  <r>
    <n v="1663"/>
    <d v="2023-12-07T00:00:00"/>
    <d v="1899-12-30T07:04:00"/>
    <n v="33"/>
    <x v="0"/>
    <x v="8"/>
    <x v="0"/>
    <n v="4"/>
    <n v="300"/>
    <n v="81"/>
    <n v="1200"/>
    <x v="1"/>
    <n v="12"/>
    <x v="2"/>
    <n v="7"/>
    <x v="2"/>
    <n v="4"/>
    <n v="1119"/>
    <n v="0.9325"/>
    <n v="1"/>
    <x v="0"/>
  </r>
  <r>
    <n v="1748"/>
    <d v="2023-03-02T00:00:00"/>
    <d v="1899-12-30T10:24:00"/>
    <n v="119"/>
    <x v="0"/>
    <x v="38"/>
    <x v="0"/>
    <n v="3"/>
    <n v="50"/>
    <n v="15.5"/>
    <n v="150"/>
    <x v="1"/>
    <n v="3"/>
    <x v="8"/>
    <n v="2"/>
    <x v="2"/>
    <n v="1"/>
    <n v="134.5"/>
    <n v="0.89666666699999997"/>
    <n v="1"/>
    <x v="2"/>
  </r>
  <r>
    <n v="1806"/>
    <d v="2023-06-14T00:00:00"/>
    <d v="1899-12-30T10:13:00"/>
    <n v="61"/>
    <x v="1"/>
    <x v="39"/>
    <x v="1"/>
    <n v="3"/>
    <n v="300"/>
    <n v="102"/>
    <n v="900"/>
    <x v="1"/>
    <n v="6"/>
    <x v="11"/>
    <n v="14"/>
    <x v="4"/>
    <n v="2"/>
    <n v="798"/>
    <n v="0.88666666699999996"/>
    <n v="1"/>
    <x v="3"/>
  </r>
  <r>
    <n v="38"/>
    <d v="2023-02-25T00:00:00"/>
    <d v="1899-12-30T11:39:00"/>
    <n v="147"/>
    <x v="0"/>
    <x v="9"/>
    <x v="1"/>
    <n v="4"/>
    <n v="50"/>
    <n v="26"/>
    <n v="200"/>
    <x v="1"/>
    <n v="2"/>
    <x v="10"/>
    <n v="25"/>
    <x v="0"/>
    <n v="1"/>
    <n v="174"/>
    <n v="0.87"/>
    <n v="1"/>
    <x v="2"/>
  </r>
  <r>
    <n v="313"/>
    <d v="2023-12-16T00:00:00"/>
    <d v="1899-12-30T10:03:00"/>
    <n v="11"/>
    <x v="1"/>
    <x v="46"/>
    <x v="1"/>
    <n v="3"/>
    <n v="500"/>
    <n v="140"/>
    <n v="1500"/>
    <x v="1"/>
    <n v="12"/>
    <x v="2"/>
    <n v="16"/>
    <x v="0"/>
    <n v="4"/>
    <n v="1360"/>
    <n v="0.90666666699999998"/>
    <n v="1"/>
    <x v="0"/>
  </r>
  <r>
    <n v="402"/>
    <d v="2023-07-12T00:00:00"/>
    <d v="1899-12-30T08:45:00"/>
    <n v="63"/>
    <x v="1"/>
    <x v="0"/>
    <x v="0"/>
    <n v="2"/>
    <n v="300"/>
    <n v="135"/>
    <n v="600"/>
    <x v="1"/>
    <n v="7"/>
    <x v="1"/>
    <n v="12"/>
    <x v="4"/>
    <n v="3"/>
    <n v="465"/>
    <n v="0.77500000000000002"/>
    <n v="1"/>
    <x v="1"/>
  </r>
  <r>
    <n v="459"/>
    <d v="2023-05-23T00:00:00"/>
    <d v="1899-12-30T07:12:00"/>
    <n v="122"/>
    <x v="0"/>
    <x v="32"/>
    <x v="0"/>
    <n v="4"/>
    <n v="300"/>
    <n v="75"/>
    <n v="1200"/>
    <x v="1"/>
    <n v="5"/>
    <x v="7"/>
    <n v="23"/>
    <x v="6"/>
    <n v="2"/>
    <n v="1125"/>
    <n v="0.9375"/>
    <n v="1"/>
    <x v="3"/>
  </r>
  <r>
    <n v="1038"/>
    <d v="2023-12-30T00:00:00"/>
    <d v="1899-12-30T09:09:00"/>
    <n v="11"/>
    <x v="0"/>
    <x v="9"/>
    <x v="1"/>
    <n v="4"/>
    <n v="50"/>
    <n v="20.5"/>
    <n v="200"/>
    <x v="1"/>
    <n v="12"/>
    <x v="2"/>
    <n v="30"/>
    <x v="0"/>
    <n v="4"/>
    <n v="179.5"/>
    <n v="0.89749999999999996"/>
    <n v="1"/>
    <x v="0"/>
  </r>
  <r>
    <n v="1313"/>
    <d v="2023-06-04T00:00:00"/>
    <d v="1899-12-30T09:22:00"/>
    <n v="10"/>
    <x v="1"/>
    <x v="46"/>
    <x v="1"/>
    <n v="3"/>
    <n v="500"/>
    <n v="170"/>
    <n v="1500"/>
    <x v="1"/>
    <n v="6"/>
    <x v="11"/>
    <n v="4"/>
    <x v="5"/>
    <n v="2"/>
    <n v="1330"/>
    <n v="0.88666666699999996"/>
    <n v="1"/>
    <x v="3"/>
  </r>
  <r>
    <n v="1402"/>
    <d v="2023-06-24T00:00:00"/>
    <d v="1899-12-30T06:47:00"/>
    <n v="110"/>
    <x v="1"/>
    <x v="0"/>
    <x v="0"/>
    <n v="2"/>
    <n v="300"/>
    <n v="156"/>
    <n v="600"/>
    <x v="1"/>
    <n v="6"/>
    <x v="11"/>
    <n v="24"/>
    <x v="0"/>
    <n v="2"/>
    <n v="444"/>
    <n v="0.74"/>
    <n v="1"/>
    <x v="3"/>
  </r>
  <r>
    <n v="1459"/>
    <d v="2023-11-10T00:00:00"/>
    <d v="1899-12-30T06:46:00"/>
    <n v="13"/>
    <x v="0"/>
    <x v="32"/>
    <x v="0"/>
    <n v="4"/>
    <n v="300"/>
    <n v="144"/>
    <n v="1200"/>
    <x v="1"/>
    <n v="11"/>
    <x v="0"/>
    <n v="10"/>
    <x v="3"/>
    <n v="4"/>
    <n v="1056"/>
    <n v="0.88"/>
    <n v="1"/>
    <x v="0"/>
  </r>
  <r>
    <n v="161"/>
    <d v="2023-07-01T00:00:00"/>
    <d v="1899-12-30T06:58:00"/>
    <n v="104"/>
    <x v="0"/>
    <x v="3"/>
    <x v="1"/>
    <n v="2"/>
    <n v="500"/>
    <n v="195"/>
    <n v="1000"/>
    <x v="1"/>
    <n v="7"/>
    <x v="1"/>
    <n v="1"/>
    <x v="0"/>
    <n v="3"/>
    <n v="805"/>
    <n v="0.80500000000000005"/>
    <n v="1"/>
    <x v="1"/>
  </r>
  <r>
    <n v="328"/>
    <d v="2023-10-29T00:00:00"/>
    <d v="1899-12-30T06:56:00"/>
    <n v="9"/>
    <x v="0"/>
    <x v="27"/>
    <x v="1"/>
    <n v="2"/>
    <n v="50"/>
    <n v="27"/>
    <n v="100"/>
    <x v="1"/>
    <n v="10"/>
    <x v="5"/>
    <n v="29"/>
    <x v="5"/>
    <n v="4"/>
    <n v="73"/>
    <n v="0.73"/>
    <n v="0"/>
    <x v="0"/>
  </r>
  <r>
    <n v="383"/>
    <d v="2023-03-24T00:00:00"/>
    <d v="1899-12-30T08:53:00"/>
    <n v="64"/>
    <x v="1"/>
    <x v="1"/>
    <x v="1"/>
    <n v="3"/>
    <n v="30"/>
    <n v="7.8"/>
    <n v="90"/>
    <x v="1"/>
    <n v="3"/>
    <x v="8"/>
    <n v="24"/>
    <x v="3"/>
    <n v="1"/>
    <n v="82.2"/>
    <n v="0.91333333299999997"/>
    <n v="0"/>
    <x v="2"/>
  </r>
  <r>
    <n v="973"/>
    <d v="2023-09-03T00:00:00"/>
    <d v="1899-12-30T08:44:00"/>
    <n v="51"/>
    <x v="0"/>
    <x v="13"/>
    <x v="0"/>
    <n v="1"/>
    <n v="50"/>
    <n v="13"/>
    <n v="50"/>
    <x v="1"/>
    <n v="9"/>
    <x v="9"/>
    <n v="3"/>
    <x v="5"/>
    <n v="3"/>
    <n v="37"/>
    <n v="0.74"/>
    <n v="0"/>
    <x v="1"/>
  </r>
  <r>
    <n v="978"/>
    <d v="2023-07-27T00:00:00"/>
    <d v="1899-12-30T09:58:00"/>
    <n v="16"/>
    <x v="1"/>
    <x v="21"/>
    <x v="0"/>
    <n v="3"/>
    <n v="50"/>
    <n v="19"/>
    <n v="150"/>
    <x v="1"/>
    <n v="7"/>
    <x v="1"/>
    <n v="27"/>
    <x v="2"/>
    <n v="3"/>
    <n v="131"/>
    <n v="0.87333333300000004"/>
    <n v="1"/>
    <x v="1"/>
  </r>
  <r>
    <n v="1161"/>
    <d v="2023-06-29T00:00:00"/>
    <d v="1899-12-30T11:06:00"/>
    <n v="30"/>
    <x v="0"/>
    <x v="3"/>
    <x v="1"/>
    <n v="2"/>
    <n v="500"/>
    <n v="160"/>
    <n v="1000"/>
    <x v="1"/>
    <n v="6"/>
    <x v="11"/>
    <n v="29"/>
    <x v="2"/>
    <n v="2"/>
    <n v="840"/>
    <n v="0.84"/>
    <n v="1"/>
    <x v="3"/>
  </r>
  <r>
    <n v="1328"/>
    <d v="2023-12-10T00:00:00"/>
    <d v="1899-12-30T07:49:00"/>
    <n v="60"/>
    <x v="0"/>
    <x v="27"/>
    <x v="1"/>
    <n v="2"/>
    <n v="50"/>
    <n v="24.5"/>
    <n v="100"/>
    <x v="1"/>
    <n v="12"/>
    <x v="2"/>
    <n v="10"/>
    <x v="5"/>
    <n v="4"/>
    <n v="75.5"/>
    <n v="0.755"/>
    <n v="0"/>
    <x v="0"/>
  </r>
  <r>
    <n v="1383"/>
    <d v="2023-09-06T00:00:00"/>
    <d v="1899-12-30T09:13:00"/>
    <n v="68"/>
    <x v="1"/>
    <x v="1"/>
    <x v="1"/>
    <n v="3"/>
    <n v="30"/>
    <n v="14.1"/>
    <n v="90"/>
    <x v="1"/>
    <n v="9"/>
    <x v="9"/>
    <n v="6"/>
    <x v="4"/>
    <n v="3"/>
    <n v="75.900000000000006"/>
    <n v="0.84333333300000002"/>
    <n v="0"/>
    <x v="1"/>
  </r>
  <r>
    <n v="1973"/>
    <d v="2023-08-19T00:00:00"/>
    <d v="1899-12-30T10:10:00"/>
    <n v="22"/>
    <x v="0"/>
    <x v="13"/>
    <x v="0"/>
    <n v="1"/>
    <n v="50"/>
    <n v="21.5"/>
    <n v="50"/>
    <x v="1"/>
    <n v="8"/>
    <x v="4"/>
    <n v="19"/>
    <x v="0"/>
    <n v="3"/>
    <n v="28.5"/>
    <n v="0.56999999999999995"/>
    <n v="0"/>
    <x v="1"/>
  </r>
  <r>
    <n v="1978"/>
    <d v="2023-08-31T00:00:00"/>
    <d v="1899-12-30T11:59:00"/>
    <n v="41"/>
    <x v="1"/>
    <x v="21"/>
    <x v="0"/>
    <n v="3"/>
    <n v="50"/>
    <n v="15.5"/>
    <n v="150"/>
    <x v="1"/>
    <n v="8"/>
    <x v="4"/>
    <n v="31"/>
    <x v="2"/>
    <n v="3"/>
    <n v="134.5"/>
    <n v="0.89666666699999997"/>
    <n v="1"/>
    <x v="1"/>
  </r>
  <r>
    <n v="33"/>
    <d v="2023-12-24T00:00:00"/>
    <d v="1899-12-30T07:40:00"/>
    <n v="33"/>
    <x v="1"/>
    <x v="20"/>
    <x v="2"/>
    <n v="2"/>
    <n v="50"/>
    <n v="21"/>
    <n v="100"/>
    <x v="1"/>
    <n v="12"/>
    <x v="2"/>
    <n v="24"/>
    <x v="5"/>
    <n v="4"/>
    <n v="79"/>
    <n v="0.79"/>
    <n v="0"/>
    <x v="0"/>
  </r>
  <r>
    <n v="138"/>
    <d v="2023-04-27T00:00:00"/>
    <d v="1899-12-30T10:56:00"/>
    <n v="127"/>
    <x v="0"/>
    <x v="28"/>
    <x v="0"/>
    <n v="4"/>
    <n v="50"/>
    <n v="26.5"/>
    <n v="200"/>
    <x v="1"/>
    <n v="4"/>
    <x v="6"/>
    <n v="27"/>
    <x v="2"/>
    <n v="2"/>
    <n v="173.5"/>
    <n v="0.86750000000000005"/>
    <n v="1"/>
    <x v="3"/>
  </r>
  <r>
    <n v="471"/>
    <d v="2023-03-08T00:00:00"/>
    <d v="1899-12-30T10:21:00"/>
    <n v="136"/>
    <x v="0"/>
    <x v="37"/>
    <x v="0"/>
    <n v="3"/>
    <n v="50"/>
    <n v="13"/>
    <n v="150"/>
    <x v="1"/>
    <n v="3"/>
    <x v="8"/>
    <n v="8"/>
    <x v="4"/>
    <n v="1"/>
    <n v="137"/>
    <n v="0.91333333299999997"/>
    <n v="1"/>
    <x v="2"/>
  </r>
  <r>
    <n v="636"/>
    <d v="2023-05-09T00:00:00"/>
    <d v="1899-12-30T06:15:00"/>
    <n v="60"/>
    <x v="1"/>
    <x v="40"/>
    <x v="1"/>
    <n v="3"/>
    <n v="500"/>
    <n v="230"/>
    <n v="1500"/>
    <x v="1"/>
    <n v="5"/>
    <x v="7"/>
    <n v="9"/>
    <x v="6"/>
    <n v="2"/>
    <n v="1270"/>
    <n v="0.84666666700000004"/>
    <n v="1"/>
    <x v="3"/>
  </r>
  <r>
    <n v="1033"/>
    <d v="2023-04-12T00:00:00"/>
    <d v="1899-12-30T06:52:00"/>
    <n v="32"/>
    <x v="1"/>
    <x v="20"/>
    <x v="2"/>
    <n v="2"/>
    <n v="50"/>
    <n v="19"/>
    <n v="100"/>
    <x v="1"/>
    <n v="4"/>
    <x v="6"/>
    <n v="12"/>
    <x v="4"/>
    <n v="2"/>
    <n v="81"/>
    <n v="0.81"/>
    <n v="0"/>
    <x v="3"/>
  </r>
  <r>
    <n v="1138"/>
    <d v="2023-10-16T00:00:00"/>
    <d v="1899-12-30T11:59:00"/>
    <n v="27"/>
    <x v="0"/>
    <x v="28"/>
    <x v="0"/>
    <n v="4"/>
    <n v="50"/>
    <n v="14.5"/>
    <n v="200"/>
    <x v="1"/>
    <n v="10"/>
    <x v="5"/>
    <n v="16"/>
    <x v="1"/>
    <n v="4"/>
    <n v="185.5"/>
    <n v="0.92749999999999999"/>
    <n v="1"/>
    <x v="0"/>
  </r>
  <r>
    <n v="1471"/>
    <d v="2023-06-25T00:00:00"/>
    <d v="1899-12-30T10:34:00"/>
    <n v="30"/>
    <x v="0"/>
    <x v="37"/>
    <x v="0"/>
    <n v="3"/>
    <n v="50"/>
    <n v="13"/>
    <n v="150"/>
    <x v="1"/>
    <n v="6"/>
    <x v="11"/>
    <n v="25"/>
    <x v="5"/>
    <n v="2"/>
    <n v="137"/>
    <n v="0.91333333299999997"/>
    <n v="1"/>
    <x v="3"/>
  </r>
  <r>
    <n v="1636"/>
    <d v="2023-07-22T00:00:00"/>
    <d v="1899-12-30T11:26:00"/>
    <n v="50"/>
    <x v="1"/>
    <x v="40"/>
    <x v="1"/>
    <n v="3"/>
    <n v="500"/>
    <n v="150"/>
    <n v="1500"/>
    <x v="1"/>
    <n v="7"/>
    <x v="1"/>
    <n v="22"/>
    <x v="0"/>
    <n v="3"/>
    <n v="1350"/>
    <n v="0.9"/>
    <n v="1"/>
    <x v="1"/>
  </r>
  <r>
    <n v="177"/>
    <d v="2023-03-24T00:00:00"/>
    <d v="1899-12-30T08:40:00"/>
    <n v="30"/>
    <x v="0"/>
    <x v="14"/>
    <x v="1"/>
    <n v="2"/>
    <n v="50"/>
    <n v="26.5"/>
    <n v="100"/>
    <x v="1"/>
    <n v="3"/>
    <x v="8"/>
    <n v="24"/>
    <x v="3"/>
    <n v="1"/>
    <n v="73.5"/>
    <n v="0.73499999999999999"/>
    <n v="0"/>
    <x v="2"/>
  </r>
  <r>
    <n v="426"/>
    <d v="2023-12-13T00:00:00"/>
    <d v="1899-12-30T08:11:00"/>
    <n v="137"/>
    <x v="0"/>
    <x v="8"/>
    <x v="2"/>
    <n v="3"/>
    <n v="50"/>
    <n v="12.5"/>
    <n v="150"/>
    <x v="1"/>
    <n v="12"/>
    <x v="2"/>
    <n v="13"/>
    <x v="4"/>
    <n v="4"/>
    <n v="137.5"/>
    <n v="0.91666666699999999"/>
    <n v="1"/>
    <x v="0"/>
  </r>
  <r>
    <n v="1177"/>
    <d v="2023-02-20T00:00:00"/>
    <d v="1899-12-30T09:19:00"/>
    <n v="89"/>
    <x v="0"/>
    <x v="14"/>
    <x v="1"/>
    <n v="2"/>
    <n v="50"/>
    <n v="15"/>
    <n v="100"/>
    <x v="1"/>
    <n v="2"/>
    <x v="10"/>
    <n v="20"/>
    <x v="1"/>
    <n v="1"/>
    <n v="85"/>
    <n v="0.85"/>
    <n v="0"/>
    <x v="2"/>
  </r>
  <r>
    <n v="1426"/>
    <d v="2023-12-12T00:00:00"/>
    <d v="1899-12-30T11:32:00"/>
    <n v="114"/>
    <x v="0"/>
    <x v="8"/>
    <x v="2"/>
    <n v="3"/>
    <n v="50"/>
    <n v="25"/>
    <n v="150"/>
    <x v="1"/>
    <n v="12"/>
    <x v="2"/>
    <n v="12"/>
    <x v="6"/>
    <n v="4"/>
    <n v="125"/>
    <n v="0.83333333300000001"/>
    <n v="1"/>
    <x v="0"/>
  </r>
  <r>
    <n v="76"/>
    <d v="2023-09-09T00:00:00"/>
    <d v="1899-12-30T07:33:00"/>
    <n v="70"/>
    <x v="1"/>
    <x v="30"/>
    <x v="2"/>
    <n v="2"/>
    <n v="50"/>
    <n v="14.5"/>
    <n v="100"/>
    <x v="1"/>
    <n v="9"/>
    <x v="9"/>
    <n v="9"/>
    <x v="0"/>
    <n v="3"/>
    <n v="85.5"/>
    <n v="0.85499999999999998"/>
    <n v="0"/>
    <x v="1"/>
  </r>
  <r>
    <n v="91"/>
    <d v="2023-04-14T00:00:00"/>
    <d v="1899-12-30T06:31:00"/>
    <n v="152"/>
    <x v="1"/>
    <x v="46"/>
    <x v="2"/>
    <n v="1"/>
    <n v="500"/>
    <n v="235"/>
    <n v="500"/>
    <x v="1"/>
    <n v="4"/>
    <x v="6"/>
    <n v="14"/>
    <x v="3"/>
    <n v="2"/>
    <n v="265"/>
    <n v="0.53"/>
    <n v="1"/>
    <x v="3"/>
  </r>
  <r>
    <n v="461"/>
    <d v="2023-07-18T00:00:00"/>
    <d v="1899-12-30T10:33:00"/>
    <n v="21"/>
    <x v="1"/>
    <x v="18"/>
    <x v="1"/>
    <n v="2"/>
    <n v="500"/>
    <n v="265"/>
    <n v="1000"/>
    <x v="1"/>
    <n v="7"/>
    <x v="1"/>
    <n v="18"/>
    <x v="6"/>
    <n v="3"/>
    <n v="735"/>
    <n v="0.73499999999999999"/>
    <n v="1"/>
    <x v="1"/>
  </r>
  <r>
    <n v="764"/>
    <d v="2023-11-07T00:00:00"/>
    <d v="1899-12-30T08:46:00"/>
    <n v="47"/>
    <x v="1"/>
    <x v="2"/>
    <x v="0"/>
    <n v="1"/>
    <n v="25"/>
    <n v="11.25"/>
    <n v="25"/>
    <x v="1"/>
    <n v="11"/>
    <x v="0"/>
    <n v="7"/>
    <x v="6"/>
    <n v="4"/>
    <n v="13.75"/>
    <n v="0.55000000000000004"/>
    <n v="0"/>
    <x v="0"/>
  </r>
  <r>
    <n v="1076"/>
    <d v="2023-07-14T00:00:00"/>
    <d v="1899-12-30T11:09:00"/>
    <n v="99"/>
    <x v="1"/>
    <x v="30"/>
    <x v="2"/>
    <n v="2"/>
    <n v="50"/>
    <n v="15"/>
    <n v="100"/>
    <x v="1"/>
    <n v="7"/>
    <x v="1"/>
    <n v="14"/>
    <x v="3"/>
    <n v="3"/>
    <n v="85"/>
    <n v="0.85"/>
    <n v="0"/>
    <x v="1"/>
  </r>
  <r>
    <n v="1091"/>
    <d v="2023-07-15T00:00:00"/>
    <d v="1899-12-30T08:46:00"/>
    <n v="139"/>
    <x v="1"/>
    <x v="46"/>
    <x v="2"/>
    <n v="1"/>
    <n v="500"/>
    <n v="235"/>
    <n v="500"/>
    <x v="1"/>
    <n v="7"/>
    <x v="1"/>
    <n v="15"/>
    <x v="0"/>
    <n v="3"/>
    <n v="265"/>
    <n v="0.53"/>
    <n v="1"/>
    <x v="1"/>
  </r>
  <r>
    <n v="1461"/>
    <d v="2023-05-01T00:00:00"/>
    <d v="1899-12-30T08:43:00"/>
    <n v="63"/>
    <x v="1"/>
    <x v="18"/>
    <x v="1"/>
    <n v="2"/>
    <n v="500"/>
    <n v="180"/>
    <n v="1000"/>
    <x v="1"/>
    <n v="5"/>
    <x v="7"/>
    <n v="1"/>
    <x v="1"/>
    <n v="2"/>
    <n v="820"/>
    <n v="0.82"/>
    <n v="1"/>
    <x v="3"/>
  </r>
  <r>
    <n v="1764"/>
    <d v="2023-11-02T00:00:00"/>
    <d v="1899-12-30T11:04:00"/>
    <n v="13"/>
    <x v="1"/>
    <x v="2"/>
    <x v="0"/>
    <n v="1"/>
    <n v="25"/>
    <n v="11.75"/>
    <n v="25"/>
    <x v="1"/>
    <n v="11"/>
    <x v="0"/>
    <n v="2"/>
    <x v="2"/>
    <n v="4"/>
    <n v="13.25"/>
    <n v="0.53"/>
    <n v="0"/>
    <x v="0"/>
  </r>
  <r>
    <n v="202"/>
    <d v="2023-01-25T00:00:00"/>
    <d v="1899-12-30T06:24:00"/>
    <n v="61"/>
    <x v="1"/>
    <x v="23"/>
    <x v="0"/>
    <n v="4"/>
    <n v="300"/>
    <n v="120"/>
    <n v="1200"/>
    <x v="1"/>
    <n v="1"/>
    <x v="3"/>
    <n v="25"/>
    <x v="4"/>
    <n v="1"/>
    <n v="1080"/>
    <n v="0.9"/>
    <n v="1"/>
    <x v="2"/>
  </r>
  <r>
    <n v="301"/>
    <d v="2023-07-30T00:00:00"/>
    <d v="1899-12-30T10:58:00"/>
    <n v="104"/>
    <x v="0"/>
    <x v="7"/>
    <x v="0"/>
    <n v="4"/>
    <n v="30"/>
    <n v="9.6"/>
    <n v="120"/>
    <x v="1"/>
    <n v="7"/>
    <x v="1"/>
    <n v="30"/>
    <x v="5"/>
    <n v="3"/>
    <n v="110.4"/>
    <n v="0.92"/>
    <n v="0"/>
    <x v="1"/>
  </r>
  <r>
    <n v="703"/>
    <d v="2023-07-31T00:00:00"/>
    <d v="1899-12-30T09:56:00"/>
    <n v="140"/>
    <x v="0"/>
    <x v="23"/>
    <x v="2"/>
    <n v="2"/>
    <n v="50"/>
    <n v="18.5"/>
    <n v="100"/>
    <x v="1"/>
    <n v="7"/>
    <x v="1"/>
    <n v="31"/>
    <x v="1"/>
    <n v="3"/>
    <n v="81.5"/>
    <n v="0.81499999999999995"/>
    <n v="0"/>
    <x v="1"/>
  </r>
  <r>
    <n v="1202"/>
    <d v="2023-11-13T00:00:00"/>
    <d v="1899-12-30T06:56:00"/>
    <n v="89"/>
    <x v="1"/>
    <x v="23"/>
    <x v="0"/>
    <n v="4"/>
    <n v="300"/>
    <n v="144"/>
    <n v="1200"/>
    <x v="1"/>
    <n v="11"/>
    <x v="0"/>
    <n v="13"/>
    <x v="1"/>
    <n v="4"/>
    <n v="1056"/>
    <n v="0.88"/>
    <n v="1"/>
    <x v="0"/>
  </r>
  <r>
    <n v="1301"/>
    <d v="2023-09-24T00:00:00"/>
    <d v="1899-12-30T09:58:00"/>
    <n v="70"/>
    <x v="0"/>
    <x v="7"/>
    <x v="0"/>
    <n v="4"/>
    <n v="30"/>
    <n v="10.5"/>
    <n v="120"/>
    <x v="1"/>
    <n v="9"/>
    <x v="9"/>
    <n v="24"/>
    <x v="5"/>
    <n v="3"/>
    <n v="109.5"/>
    <n v="0.91249999999999998"/>
    <n v="0"/>
    <x v="1"/>
  </r>
  <r>
    <n v="1703"/>
    <d v="2023-06-10T00:00:00"/>
    <d v="1899-12-30T08:36:00"/>
    <n v="2"/>
    <x v="0"/>
    <x v="23"/>
    <x v="2"/>
    <n v="2"/>
    <n v="50"/>
    <n v="17"/>
    <n v="100"/>
    <x v="1"/>
    <n v="6"/>
    <x v="11"/>
    <n v="10"/>
    <x v="0"/>
    <n v="2"/>
    <n v="83"/>
    <n v="0.83"/>
    <n v="0"/>
    <x v="3"/>
  </r>
  <r>
    <n v="294"/>
    <d v="2023-10-09T00:00:00"/>
    <d v="1899-12-30T09:24:00"/>
    <n v="89"/>
    <x v="1"/>
    <x v="8"/>
    <x v="0"/>
    <n v="3"/>
    <n v="30"/>
    <n v="15.3"/>
    <n v="90"/>
    <x v="1"/>
    <n v="10"/>
    <x v="5"/>
    <n v="9"/>
    <x v="1"/>
    <n v="4"/>
    <n v="74.7"/>
    <n v="0.83"/>
    <n v="0"/>
    <x v="0"/>
  </r>
  <r>
    <n v="760"/>
    <d v="2023-06-26T00:00:00"/>
    <d v="1899-12-30T07:59:00"/>
    <n v="14"/>
    <x v="0"/>
    <x v="17"/>
    <x v="1"/>
    <n v="1"/>
    <n v="500"/>
    <n v="125"/>
    <n v="500"/>
    <x v="1"/>
    <n v="6"/>
    <x v="11"/>
    <n v="26"/>
    <x v="1"/>
    <n v="2"/>
    <n v="375"/>
    <n v="0.75"/>
    <n v="1"/>
    <x v="3"/>
  </r>
  <r>
    <n v="1294"/>
    <d v="2023-01-24T00:00:00"/>
    <d v="1899-12-30T11:24:00"/>
    <n v="8"/>
    <x v="1"/>
    <x v="8"/>
    <x v="0"/>
    <n v="3"/>
    <n v="30"/>
    <n v="10.5"/>
    <n v="90"/>
    <x v="1"/>
    <n v="1"/>
    <x v="3"/>
    <n v="24"/>
    <x v="6"/>
    <n v="1"/>
    <n v="79.5"/>
    <n v="0.88333333300000005"/>
    <n v="0"/>
    <x v="2"/>
  </r>
  <r>
    <n v="1760"/>
    <d v="2023-08-23T00:00:00"/>
    <d v="1899-12-30T07:26:00"/>
    <n v="44"/>
    <x v="0"/>
    <x v="17"/>
    <x v="1"/>
    <n v="1"/>
    <n v="500"/>
    <n v="230"/>
    <n v="500"/>
    <x v="1"/>
    <n v="8"/>
    <x v="4"/>
    <n v="23"/>
    <x v="4"/>
    <n v="3"/>
    <n v="270"/>
    <n v="0.54"/>
    <n v="1"/>
    <x v="1"/>
  </r>
  <r>
    <n v="575"/>
    <d v="2023-12-12T00:00:00"/>
    <d v="1899-12-30T10:29:00"/>
    <n v="14"/>
    <x v="0"/>
    <x v="13"/>
    <x v="0"/>
    <n v="2"/>
    <n v="50"/>
    <n v="23"/>
    <n v="100"/>
    <x v="1"/>
    <n v="12"/>
    <x v="2"/>
    <n v="12"/>
    <x v="6"/>
    <n v="4"/>
    <n v="77"/>
    <n v="0.77"/>
    <n v="0"/>
    <x v="0"/>
  </r>
  <r>
    <n v="1575"/>
    <d v="2023-07-28T00:00:00"/>
    <d v="1899-12-30T11:54:00"/>
    <n v="26"/>
    <x v="0"/>
    <x v="13"/>
    <x v="0"/>
    <n v="2"/>
    <n v="50"/>
    <n v="22.5"/>
    <n v="100"/>
    <x v="1"/>
    <n v="7"/>
    <x v="1"/>
    <n v="28"/>
    <x v="3"/>
    <n v="3"/>
    <n v="77.5"/>
    <n v="0.77500000000000002"/>
    <n v="0"/>
    <x v="1"/>
  </r>
  <r>
    <n v="88"/>
    <d v="2023-02-16T00:00:00"/>
    <d v="1899-12-30T08:31:00"/>
    <n v="122"/>
    <x v="0"/>
    <x v="34"/>
    <x v="0"/>
    <n v="1"/>
    <n v="500"/>
    <n v="185"/>
    <n v="500"/>
    <x v="1"/>
    <n v="2"/>
    <x v="10"/>
    <n v="16"/>
    <x v="2"/>
    <n v="1"/>
    <n v="315"/>
    <n v="0.63"/>
    <n v="1"/>
    <x v="2"/>
  </r>
  <r>
    <n v="1088"/>
    <d v="2023-09-14T00:00:00"/>
    <d v="1899-12-30T07:00:00"/>
    <n v="6"/>
    <x v="0"/>
    <x v="34"/>
    <x v="0"/>
    <n v="1"/>
    <n v="500"/>
    <n v="155"/>
    <n v="500"/>
    <x v="1"/>
    <n v="9"/>
    <x v="9"/>
    <n v="14"/>
    <x v="2"/>
    <n v="3"/>
    <n v="345"/>
    <n v="0.69"/>
    <n v="1"/>
    <x v="1"/>
  </r>
  <r>
    <n v="975"/>
    <d v="2023-01-09T00:00:00"/>
    <d v="1899-12-30T07:41:00"/>
    <n v="145"/>
    <x v="1"/>
    <x v="34"/>
    <x v="0"/>
    <n v="4"/>
    <n v="50"/>
    <n v="19.5"/>
    <n v="200"/>
    <x v="1"/>
    <n v="1"/>
    <x v="3"/>
    <n v="9"/>
    <x v="1"/>
    <n v="1"/>
    <n v="180.5"/>
    <n v="0.90249999999999997"/>
    <n v="1"/>
    <x v="2"/>
  </r>
  <r>
    <n v="1975"/>
    <d v="2023-08-21T00:00:00"/>
    <d v="1899-12-30T10:48:00"/>
    <n v="63"/>
    <x v="1"/>
    <x v="34"/>
    <x v="0"/>
    <n v="4"/>
    <n v="50"/>
    <n v="25.5"/>
    <n v="200"/>
    <x v="1"/>
    <n v="8"/>
    <x v="4"/>
    <n v="21"/>
    <x v="1"/>
    <n v="3"/>
    <n v="174.5"/>
    <n v="0.87250000000000005"/>
    <n v="1"/>
    <x v="1"/>
  </r>
  <r>
    <n v="553"/>
    <d v="2023-03-20T00:00:00"/>
    <d v="1899-12-30T06:17:00"/>
    <n v="106"/>
    <x v="0"/>
    <x v="24"/>
    <x v="0"/>
    <n v="4"/>
    <n v="300"/>
    <n v="81"/>
    <n v="1200"/>
    <x v="1"/>
    <n v="3"/>
    <x v="8"/>
    <n v="20"/>
    <x v="1"/>
    <n v="1"/>
    <n v="1119"/>
    <n v="0.9325"/>
    <n v="1"/>
    <x v="2"/>
  </r>
  <r>
    <n v="1553"/>
    <d v="2023-01-29T00:00:00"/>
    <d v="1899-12-30T08:46:00"/>
    <n v="42"/>
    <x v="0"/>
    <x v="24"/>
    <x v="0"/>
    <n v="4"/>
    <n v="300"/>
    <n v="99"/>
    <n v="1200"/>
    <x v="1"/>
    <n v="1"/>
    <x v="3"/>
    <n v="29"/>
    <x v="5"/>
    <n v="1"/>
    <n v="1101"/>
    <n v="0.91749999999999998"/>
    <n v="1"/>
    <x v="2"/>
  </r>
  <r>
    <n v="462"/>
    <d v="2023-08-26T00:00:00"/>
    <d v="1899-12-30T10:04:00"/>
    <n v="71"/>
    <x v="0"/>
    <x v="15"/>
    <x v="2"/>
    <n v="4"/>
    <n v="300"/>
    <n v="132"/>
    <n v="1200"/>
    <x v="1"/>
    <n v="8"/>
    <x v="4"/>
    <n v="26"/>
    <x v="0"/>
    <n v="3"/>
    <n v="1068"/>
    <n v="0.89"/>
    <n v="1"/>
    <x v="1"/>
  </r>
  <r>
    <n v="614"/>
    <d v="2023-02-13T00:00:00"/>
    <d v="1899-12-30T06:28:00"/>
    <n v="61"/>
    <x v="1"/>
    <x v="27"/>
    <x v="1"/>
    <n v="4"/>
    <n v="300"/>
    <n v="120"/>
    <n v="1200"/>
    <x v="1"/>
    <n v="2"/>
    <x v="10"/>
    <n v="13"/>
    <x v="1"/>
    <n v="1"/>
    <n v="1080"/>
    <n v="0.9"/>
    <n v="1"/>
    <x v="2"/>
  </r>
  <r>
    <n v="808"/>
    <d v="2023-11-22T00:00:00"/>
    <d v="1899-12-30T07:18:00"/>
    <n v="30"/>
    <x v="0"/>
    <x v="19"/>
    <x v="1"/>
    <n v="4"/>
    <n v="500"/>
    <n v="195"/>
    <n v="2000"/>
    <x v="1"/>
    <n v="11"/>
    <x v="0"/>
    <n v="22"/>
    <x v="4"/>
    <n v="4"/>
    <n v="1805"/>
    <n v="0.90249999999999997"/>
    <n v="1"/>
    <x v="0"/>
  </r>
  <r>
    <n v="1462"/>
    <d v="2023-11-13T00:00:00"/>
    <d v="1899-12-30T10:42:00"/>
    <n v="124"/>
    <x v="0"/>
    <x v="15"/>
    <x v="2"/>
    <n v="4"/>
    <n v="300"/>
    <n v="114"/>
    <n v="1200"/>
    <x v="1"/>
    <n v="11"/>
    <x v="0"/>
    <n v="13"/>
    <x v="1"/>
    <n v="4"/>
    <n v="1086"/>
    <n v="0.90500000000000003"/>
    <n v="1"/>
    <x v="0"/>
  </r>
  <r>
    <n v="1614"/>
    <d v="2023-08-23T00:00:00"/>
    <d v="1899-12-30T11:37:00"/>
    <n v="135"/>
    <x v="1"/>
    <x v="27"/>
    <x v="1"/>
    <n v="4"/>
    <n v="300"/>
    <n v="105"/>
    <n v="1200"/>
    <x v="1"/>
    <n v="8"/>
    <x v="4"/>
    <n v="23"/>
    <x v="4"/>
    <n v="3"/>
    <n v="1095"/>
    <n v="0.91249999999999998"/>
    <n v="1"/>
    <x v="1"/>
  </r>
  <r>
    <n v="1808"/>
    <d v="2023-02-12T00:00:00"/>
    <d v="1899-12-30T10:48:00"/>
    <n v="109"/>
    <x v="0"/>
    <x v="19"/>
    <x v="1"/>
    <n v="4"/>
    <n v="500"/>
    <n v="210"/>
    <n v="2000"/>
    <x v="1"/>
    <n v="2"/>
    <x v="10"/>
    <n v="12"/>
    <x v="5"/>
    <n v="1"/>
    <n v="1790"/>
    <n v="0.89500000000000002"/>
    <n v="1"/>
    <x v="2"/>
  </r>
  <r>
    <n v="166"/>
    <d v="2023-01-28T00:00:00"/>
    <d v="1899-12-30T11:42:00"/>
    <n v="32"/>
    <x v="0"/>
    <x v="23"/>
    <x v="0"/>
    <n v="4"/>
    <n v="500"/>
    <n v="225"/>
    <n v="2000"/>
    <x v="1"/>
    <n v="1"/>
    <x v="3"/>
    <n v="28"/>
    <x v="0"/>
    <n v="1"/>
    <n v="1775"/>
    <n v="0.88749999999999996"/>
    <n v="1"/>
    <x v="2"/>
  </r>
  <r>
    <n v="465"/>
    <d v="2023-02-22T00:00:00"/>
    <d v="1899-12-30T11:52:00"/>
    <n v="40"/>
    <x v="1"/>
    <x v="22"/>
    <x v="2"/>
    <n v="3"/>
    <n v="50"/>
    <n v="15.5"/>
    <n v="150"/>
    <x v="1"/>
    <n v="2"/>
    <x v="10"/>
    <n v="22"/>
    <x v="4"/>
    <n v="1"/>
    <n v="134.5"/>
    <n v="0.89666666699999997"/>
    <n v="1"/>
    <x v="2"/>
  </r>
  <r>
    <n v="502"/>
    <d v="2023-07-22T00:00:00"/>
    <d v="1899-12-30T11:00:00"/>
    <n v="31"/>
    <x v="0"/>
    <x v="22"/>
    <x v="2"/>
    <n v="3"/>
    <n v="50"/>
    <n v="22.5"/>
    <n v="150"/>
    <x v="1"/>
    <n v="7"/>
    <x v="1"/>
    <n v="22"/>
    <x v="0"/>
    <n v="3"/>
    <n v="127.5"/>
    <n v="0.85"/>
    <n v="1"/>
    <x v="1"/>
  </r>
  <r>
    <n v="905"/>
    <d v="2023-10-01T00:00:00"/>
    <d v="1899-12-30T06:27:00"/>
    <n v="96"/>
    <x v="0"/>
    <x v="43"/>
    <x v="1"/>
    <n v="1"/>
    <n v="300"/>
    <n v="111"/>
    <n v="300"/>
    <x v="1"/>
    <n v="10"/>
    <x v="5"/>
    <n v="1"/>
    <x v="5"/>
    <n v="4"/>
    <n v="189"/>
    <n v="0.63"/>
    <n v="1"/>
    <x v="0"/>
  </r>
  <r>
    <n v="1166"/>
    <d v="2023-07-19T00:00:00"/>
    <d v="1899-12-30T07:45:00"/>
    <n v="65"/>
    <x v="0"/>
    <x v="23"/>
    <x v="0"/>
    <n v="4"/>
    <n v="500"/>
    <n v="245"/>
    <n v="2000"/>
    <x v="1"/>
    <n v="7"/>
    <x v="1"/>
    <n v="19"/>
    <x v="4"/>
    <n v="3"/>
    <n v="1755"/>
    <n v="0.87749999999999995"/>
    <n v="1"/>
    <x v="1"/>
  </r>
  <r>
    <n v="1465"/>
    <d v="2023-04-17T00:00:00"/>
    <d v="1899-12-30T09:36:00"/>
    <n v="131"/>
    <x v="1"/>
    <x v="22"/>
    <x v="2"/>
    <n v="3"/>
    <n v="50"/>
    <n v="26"/>
    <n v="150"/>
    <x v="1"/>
    <n v="4"/>
    <x v="6"/>
    <n v="17"/>
    <x v="1"/>
    <n v="2"/>
    <n v="124"/>
    <n v="0.82666666700000002"/>
    <n v="1"/>
    <x v="3"/>
  </r>
  <r>
    <n v="1502"/>
    <d v="2023-04-08T00:00:00"/>
    <d v="1899-12-30T08:30:00"/>
    <n v="152"/>
    <x v="0"/>
    <x v="22"/>
    <x v="2"/>
    <n v="3"/>
    <n v="50"/>
    <n v="18"/>
    <n v="150"/>
    <x v="1"/>
    <n v="4"/>
    <x v="6"/>
    <n v="8"/>
    <x v="0"/>
    <n v="2"/>
    <n v="132"/>
    <n v="0.88"/>
    <n v="1"/>
    <x v="3"/>
  </r>
  <r>
    <n v="1905"/>
    <d v="2023-08-29T00:00:00"/>
    <d v="1899-12-30T06:07:00"/>
    <n v="26"/>
    <x v="0"/>
    <x v="43"/>
    <x v="1"/>
    <n v="1"/>
    <n v="300"/>
    <n v="102"/>
    <n v="300"/>
    <x v="1"/>
    <n v="8"/>
    <x v="4"/>
    <n v="29"/>
    <x v="6"/>
    <n v="3"/>
    <n v="198"/>
    <n v="0.66"/>
    <n v="1"/>
    <x v="1"/>
  </r>
  <r>
    <n v="280"/>
    <d v="2023-11-17T00:00:00"/>
    <d v="1899-12-30T09:35:00"/>
    <n v="76"/>
    <x v="1"/>
    <x v="5"/>
    <x v="0"/>
    <n v="3"/>
    <n v="500"/>
    <n v="240"/>
    <n v="1500"/>
    <x v="1"/>
    <n v="11"/>
    <x v="0"/>
    <n v="17"/>
    <x v="3"/>
    <n v="4"/>
    <n v="1260"/>
    <n v="0.84"/>
    <n v="1"/>
    <x v="0"/>
  </r>
  <r>
    <n v="719"/>
    <d v="2023-07-02T00:00:00"/>
    <d v="1899-12-30T07:19:00"/>
    <n v="37"/>
    <x v="1"/>
    <x v="25"/>
    <x v="0"/>
    <n v="2"/>
    <n v="30"/>
    <n v="12"/>
    <n v="60"/>
    <x v="1"/>
    <n v="7"/>
    <x v="1"/>
    <n v="2"/>
    <x v="5"/>
    <n v="3"/>
    <n v="48"/>
    <n v="0.8"/>
    <n v="0"/>
    <x v="1"/>
  </r>
  <r>
    <n v="834"/>
    <d v="2023-11-26T00:00:00"/>
    <d v="1899-12-30T06:55:00"/>
    <n v="13"/>
    <x v="1"/>
    <x v="34"/>
    <x v="1"/>
    <n v="2"/>
    <n v="30"/>
    <n v="14.7"/>
    <n v="60"/>
    <x v="1"/>
    <n v="11"/>
    <x v="0"/>
    <n v="26"/>
    <x v="5"/>
    <n v="4"/>
    <n v="45.3"/>
    <n v="0.755"/>
    <n v="0"/>
    <x v="0"/>
  </r>
  <r>
    <n v="1280"/>
    <d v="2023-08-24T00:00:00"/>
    <d v="1899-12-30T09:15:00"/>
    <n v="116"/>
    <x v="1"/>
    <x v="5"/>
    <x v="0"/>
    <n v="3"/>
    <n v="500"/>
    <n v="255"/>
    <n v="1500"/>
    <x v="1"/>
    <n v="8"/>
    <x v="4"/>
    <n v="24"/>
    <x v="2"/>
    <n v="3"/>
    <n v="1245"/>
    <n v="0.83"/>
    <n v="1"/>
    <x v="1"/>
  </r>
  <r>
    <n v="1719"/>
    <d v="2023-12-28T00:00:00"/>
    <d v="1899-12-30T07:29:00"/>
    <n v="4"/>
    <x v="1"/>
    <x v="25"/>
    <x v="0"/>
    <n v="2"/>
    <n v="30"/>
    <n v="10.8"/>
    <n v="60"/>
    <x v="1"/>
    <n v="12"/>
    <x v="2"/>
    <n v="28"/>
    <x v="2"/>
    <n v="4"/>
    <n v="49.2"/>
    <n v="0.82"/>
    <n v="0"/>
    <x v="0"/>
  </r>
  <r>
    <n v="1834"/>
    <d v="2023-04-14T00:00:00"/>
    <d v="1899-12-30T06:53:00"/>
    <n v="102"/>
    <x v="1"/>
    <x v="34"/>
    <x v="1"/>
    <n v="2"/>
    <n v="30"/>
    <n v="12.9"/>
    <n v="60"/>
    <x v="1"/>
    <n v="4"/>
    <x v="6"/>
    <n v="14"/>
    <x v="3"/>
    <n v="2"/>
    <n v="47.1"/>
    <n v="0.78500000000000003"/>
    <n v="0"/>
    <x v="3"/>
  </r>
  <r>
    <n v="891"/>
    <d v="2023-01-09T00:00:00"/>
    <d v="1899-12-30T06:43:00"/>
    <n v="24"/>
    <x v="0"/>
    <x v="0"/>
    <x v="2"/>
    <n v="3"/>
    <n v="300"/>
    <n v="99"/>
    <n v="900"/>
    <x v="1"/>
    <n v="1"/>
    <x v="3"/>
    <n v="9"/>
    <x v="1"/>
    <n v="1"/>
    <n v="801"/>
    <n v="0.89"/>
    <n v="1"/>
    <x v="2"/>
  </r>
  <r>
    <n v="928"/>
    <d v="2023-11-05T00:00:00"/>
    <d v="1899-12-30T10:20:00"/>
    <n v="54"/>
    <x v="1"/>
    <x v="39"/>
    <x v="0"/>
    <n v="4"/>
    <n v="300"/>
    <n v="90"/>
    <n v="1200"/>
    <x v="1"/>
    <n v="11"/>
    <x v="0"/>
    <n v="5"/>
    <x v="5"/>
    <n v="4"/>
    <n v="1110"/>
    <n v="0.92500000000000004"/>
    <n v="1"/>
    <x v="0"/>
  </r>
  <r>
    <n v="1891"/>
    <d v="2023-12-22T00:00:00"/>
    <d v="1899-12-30T06:11:00"/>
    <n v="81"/>
    <x v="0"/>
    <x v="0"/>
    <x v="2"/>
    <n v="3"/>
    <n v="300"/>
    <n v="105"/>
    <n v="900"/>
    <x v="1"/>
    <n v="12"/>
    <x v="2"/>
    <n v="22"/>
    <x v="3"/>
    <n v="4"/>
    <n v="795"/>
    <n v="0.88333333300000005"/>
    <n v="1"/>
    <x v="0"/>
  </r>
  <r>
    <n v="1928"/>
    <d v="2023-07-29T00:00:00"/>
    <d v="1899-12-30T06:39:00"/>
    <n v="93"/>
    <x v="1"/>
    <x v="39"/>
    <x v="0"/>
    <n v="4"/>
    <n v="300"/>
    <n v="75"/>
    <n v="1200"/>
    <x v="1"/>
    <n v="7"/>
    <x v="1"/>
    <n v="29"/>
    <x v="0"/>
    <n v="3"/>
    <n v="1125"/>
    <n v="0.9375"/>
    <n v="1"/>
    <x v="1"/>
  </r>
  <r>
    <n v="332"/>
    <d v="2023-04-24T00:00:00"/>
    <d v="1899-12-30T11:28:00"/>
    <n v="138"/>
    <x v="0"/>
    <x v="43"/>
    <x v="2"/>
    <n v="4"/>
    <n v="300"/>
    <n v="105"/>
    <n v="1200"/>
    <x v="1"/>
    <n v="4"/>
    <x v="6"/>
    <n v="24"/>
    <x v="1"/>
    <n v="2"/>
    <n v="1095"/>
    <n v="0.91249999999999998"/>
    <n v="1"/>
    <x v="3"/>
  </r>
  <r>
    <n v="1332"/>
    <d v="2023-12-04T00:00:00"/>
    <d v="1899-12-30T10:02:00"/>
    <n v="146"/>
    <x v="0"/>
    <x v="43"/>
    <x v="2"/>
    <n v="4"/>
    <n v="300"/>
    <n v="123"/>
    <n v="1200"/>
    <x v="1"/>
    <n v="12"/>
    <x v="2"/>
    <n v="4"/>
    <x v="1"/>
    <n v="4"/>
    <n v="1077"/>
    <n v="0.89749999999999996"/>
    <n v="1"/>
    <x v="0"/>
  </r>
  <r>
    <n v="255"/>
    <d v="2023-10-15T00:00:00"/>
    <d v="1899-12-30T11:44:00"/>
    <n v="19"/>
    <x v="0"/>
    <x v="42"/>
    <x v="0"/>
    <n v="1"/>
    <n v="30"/>
    <n v="14.7"/>
    <n v="30"/>
    <x v="1"/>
    <n v="10"/>
    <x v="5"/>
    <n v="15"/>
    <x v="5"/>
    <n v="4"/>
    <n v="15.3"/>
    <n v="0.51"/>
    <n v="0"/>
    <x v="0"/>
  </r>
  <r>
    <n v="275"/>
    <d v="2023-03-05T00:00:00"/>
    <d v="1899-12-30T11:34:00"/>
    <n v="2"/>
    <x v="0"/>
    <x v="22"/>
    <x v="0"/>
    <n v="2"/>
    <n v="500"/>
    <n v="260"/>
    <n v="1000"/>
    <x v="1"/>
    <n v="3"/>
    <x v="8"/>
    <n v="5"/>
    <x v="5"/>
    <n v="1"/>
    <n v="740"/>
    <n v="0.74"/>
    <n v="1"/>
    <x v="2"/>
  </r>
  <r>
    <n v="314"/>
    <d v="2023-10-15T00:00:00"/>
    <d v="1899-12-30T07:37:00"/>
    <n v="1"/>
    <x v="0"/>
    <x v="41"/>
    <x v="0"/>
    <n v="4"/>
    <n v="30"/>
    <n v="7.8"/>
    <n v="120"/>
    <x v="1"/>
    <n v="10"/>
    <x v="5"/>
    <n v="15"/>
    <x v="5"/>
    <n v="4"/>
    <n v="112.2"/>
    <n v="0.93500000000000005"/>
    <n v="0"/>
    <x v="0"/>
  </r>
  <r>
    <n v="517"/>
    <d v="2023-08-20T00:00:00"/>
    <d v="1899-12-30T08:54:00"/>
    <n v="3"/>
    <x v="1"/>
    <x v="35"/>
    <x v="0"/>
    <n v="4"/>
    <n v="25"/>
    <n v="9.25"/>
    <n v="100"/>
    <x v="1"/>
    <n v="8"/>
    <x v="4"/>
    <n v="20"/>
    <x v="5"/>
    <n v="3"/>
    <n v="90.75"/>
    <n v="0.90749999999999997"/>
    <n v="0"/>
    <x v="1"/>
  </r>
  <r>
    <n v="847"/>
    <d v="2023-01-10T00:00:00"/>
    <d v="1899-12-30T08:42:00"/>
    <n v="2"/>
    <x v="1"/>
    <x v="18"/>
    <x v="2"/>
    <n v="4"/>
    <n v="300"/>
    <n v="162"/>
    <n v="1200"/>
    <x v="1"/>
    <n v="1"/>
    <x v="3"/>
    <n v="10"/>
    <x v="6"/>
    <n v="1"/>
    <n v="1038"/>
    <n v="0.86499999999999999"/>
    <n v="1"/>
    <x v="2"/>
  </r>
  <r>
    <n v="1255"/>
    <d v="2023-01-20T00:00:00"/>
    <d v="1899-12-30T07:08:00"/>
    <n v="4"/>
    <x v="0"/>
    <x v="42"/>
    <x v="0"/>
    <n v="1"/>
    <n v="30"/>
    <n v="7.8"/>
    <n v="30"/>
    <x v="1"/>
    <n v="1"/>
    <x v="3"/>
    <n v="20"/>
    <x v="3"/>
    <n v="1"/>
    <n v="22.2"/>
    <n v="0.74"/>
    <n v="0"/>
    <x v="2"/>
  </r>
  <r>
    <n v="1275"/>
    <d v="2023-03-02T00:00:00"/>
    <d v="1899-12-30T08:48:00"/>
    <n v="5"/>
    <x v="0"/>
    <x v="22"/>
    <x v="0"/>
    <n v="2"/>
    <n v="500"/>
    <n v="250"/>
    <n v="1000"/>
    <x v="1"/>
    <n v="3"/>
    <x v="8"/>
    <n v="2"/>
    <x v="2"/>
    <n v="1"/>
    <n v="750"/>
    <n v="0.75"/>
    <n v="1"/>
    <x v="2"/>
  </r>
  <r>
    <n v="1314"/>
    <d v="2023-05-23T00:00:00"/>
    <d v="1899-12-30T10:26:00"/>
    <n v="2"/>
    <x v="0"/>
    <x v="41"/>
    <x v="0"/>
    <n v="4"/>
    <n v="30"/>
    <n v="16.2"/>
    <n v="120"/>
    <x v="1"/>
    <n v="5"/>
    <x v="7"/>
    <n v="23"/>
    <x v="6"/>
    <n v="2"/>
    <n v="103.8"/>
    <n v="0.86499999999999999"/>
    <n v="0"/>
    <x v="3"/>
  </r>
  <r>
    <n v="1517"/>
    <d v="2023-02-21T00:00:00"/>
    <d v="1899-12-30T08:46:00"/>
    <n v="2"/>
    <x v="1"/>
    <x v="35"/>
    <x v="0"/>
    <n v="4"/>
    <n v="25"/>
    <n v="6.75"/>
    <n v="100"/>
    <x v="1"/>
    <n v="2"/>
    <x v="10"/>
    <n v="21"/>
    <x v="6"/>
    <n v="1"/>
    <n v="93.25"/>
    <n v="0.9325"/>
    <n v="0"/>
    <x v="2"/>
  </r>
  <r>
    <n v="1847"/>
    <d v="2023-07-28T00:00:00"/>
    <d v="1899-12-30T07:14:00"/>
    <n v="5"/>
    <x v="1"/>
    <x v="18"/>
    <x v="2"/>
    <n v="4"/>
    <n v="300"/>
    <n v="123"/>
    <n v="1200"/>
    <x v="1"/>
    <n v="7"/>
    <x v="1"/>
    <n v="28"/>
    <x v="3"/>
    <n v="3"/>
    <n v="1077"/>
    <n v="0.89749999999999996"/>
    <n v="1"/>
    <x v="1"/>
  </r>
  <r>
    <n v="61"/>
    <d v="2023-07-07T00:00:00"/>
    <d v="1899-12-30T11:47:00"/>
    <n v="4"/>
    <x v="0"/>
    <x v="40"/>
    <x v="1"/>
    <n v="4"/>
    <n v="50"/>
    <n v="20"/>
    <n v="200"/>
    <x v="1"/>
    <n v="7"/>
    <x v="1"/>
    <n v="7"/>
    <x v="3"/>
    <n v="3"/>
    <n v="180"/>
    <n v="0.9"/>
    <n v="1"/>
    <x v="1"/>
  </r>
  <r>
    <n v="274"/>
    <d v="2023-04-14T00:00:00"/>
    <d v="1899-12-30T07:12:00"/>
    <n v="4"/>
    <x v="1"/>
    <x v="8"/>
    <x v="0"/>
    <n v="2"/>
    <n v="500"/>
    <n v="150"/>
    <n v="1000"/>
    <x v="1"/>
    <n v="4"/>
    <x v="6"/>
    <n v="14"/>
    <x v="3"/>
    <n v="2"/>
    <n v="850"/>
    <n v="0.85"/>
    <n v="1"/>
    <x v="3"/>
  </r>
  <r>
    <n v="486"/>
    <d v="2023-12-02T00:00:00"/>
    <d v="1899-12-30T09:47:00"/>
    <n v="4"/>
    <x v="1"/>
    <x v="39"/>
    <x v="2"/>
    <n v="1"/>
    <n v="25"/>
    <n v="6.5"/>
    <n v="25"/>
    <x v="1"/>
    <n v="12"/>
    <x v="2"/>
    <n v="2"/>
    <x v="0"/>
    <n v="4"/>
    <n v="18.5"/>
    <n v="0.74"/>
    <n v="0"/>
    <x v="0"/>
  </r>
  <r>
    <n v="548"/>
    <d v="2023-04-14T00:00:00"/>
    <d v="1899-12-30T07:00:00"/>
    <n v="4"/>
    <x v="1"/>
    <x v="12"/>
    <x v="0"/>
    <n v="2"/>
    <n v="30"/>
    <n v="15.6"/>
    <n v="60"/>
    <x v="1"/>
    <n v="4"/>
    <x v="6"/>
    <n v="14"/>
    <x v="3"/>
    <n v="2"/>
    <n v="44.4"/>
    <n v="0.74"/>
    <n v="0"/>
    <x v="3"/>
  </r>
  <r>
    <n v="886"/>
    <d v="2023-12-11T00:00:00"/>
    <d v="1899-12-30T11:25:00"/>
    <n v="4"/>
    <x v="0"/>
    <x v="5"/>
    <x v="2"/>
    <n v="3"/>
    <n v="300"/>
    <n v="165"/>
    <n v="900"/>
    <x v="1"/>
    <n v="12"/>
    <x v="2"/>
    <n v="11"/>
    <x v="1"/>
    <n v="4"/>
    <n v="735"/>
    <n v="0.81666666700000001"/>
    <n v="1"/>
    <x v="0"/>
  </r>
  <r>
    <n v="892"/>
    <d v="2023-09-13T00:00:00"/>
    <d v="1899-12-30T11:39:00"/>
    <n v="1"/>
    <x v="0"/>
    <x v="36"/>
    <x v="2"/>
    <n v="1"/>
    <n v="50"/>
    <n v="24"/>
    <n v="50"/>
    <x v="1"/>
    <n v="9"/>
    <x v="9"/>
    <n v="13"/>
    <x v="4"/>
    <n v="3"/>
    <n v="26"/>
    <n v="0.52"/>
    <n v="0"/>
    <x v="1"/>
  </r>
  <r>
    <n v="1061"/>
    <d v="2023-09-18T00:00:00"/>
    <d v="1899-12-30T07:56:00"/>
    <n v="3"/>
    <x v="0"/>
    <x v="40"/>
    <x v="1"/>
    <n v="4"/>
    <n v="50"/>
    <n v="12.5"/>
    <n v="200"/>
    <x v="1"/>
    <n v="9"/>
    <x v="9"/>
    <n v="18"/>
    <x v="1"/>
    <n v="3"/>
    <n v="187.5"/>
    <n v="0.9375"/>
    <n v="1"/>
    <x v="1"/>
  </r>
  <r>
    <n v="1274"/>
    <d v="2023-10-06T00:00:00"/>
    <d v="1899-12-30T09:01:00"/>
    <n v="2"/>
    <x v="1"/>
    <x v="8"/>
    <x v="0"/>
    <n v="2"/>
    <n v="500"/>
    <n v="185"/>
    <n v="1000"/>
    <x v="1"/>
    <n v="10"/>
    <x v="5"/>
    <n v="6"/>
    <x v="3"/>
    <n v="4"/>
    <n v="815"/>
    <n v="0.81499999999999995"/>
    <n v="1"/>
    <x v="0"/>
  </r>
  <r>
    <n v="1486"/>
    <d v="2023-11-22T00:00:00"/>
    <d v="1899-12-30T08:58:00"/>
    <n v="4"/>
    <x v="1"/>
    <x v="39"/>
    <x v="2"/>
    <n v="1"/>
    <n v="25"/>
    <n v="8.75"/>
    <n v="25"/>
    <x v="1"/>
    <n v="11"/>
    <x v="0"/>
    <n v="22"/>
    <x v="4"/>
    <n v="4"/>
    <n v="16.25"/>
    <n v="0.65"/>
    <n v="0"/>
    <x v="0"/>
  </r>
  <r>
    <n v="1548"/>
    <d v="2023-01-13T00:00:00"/>
    <d v="1899-12-30T08:15:00"/>
    <n v="1"/>
    <x v="1"/>
    <x v="12"/>
    <x v="0"/>
    <n v="2"/>
    <n v="30"/>
    <n v="12.6"/>
    <n v="60"/>
    <x v="1"/>
    <n v="1"/>
    <x v="3"/>
    <n v="13"/>
    <x v="3"/>
    <n v="1"/>
    <n v="47.4"/>
    <n v="0.79"/>
    <n v="0"/>
    <x v="2"/>
  </r>
  <r>
    <n v="1886"/>
    <d v="2023-07-26T00:00:00"/>
    <d v="1899-12-30T11:51:00"/>
    <n v="1"/>
    <x v="0"/>
    <x v="5"/>
    <x v="2"/>
    <n v="3"/>
    <n v="300"/>
    <n v="147"/>
    <n v="900"/>
    <x v="1"/>
    <n v="7"/>
    <x v="1"/>
    <n v="26"/>
    <x v="4"/>
    <n v="3"/>
    <n v="753"/>
    <n v="0.83666666700000003"/>
    <n v="1"/>
    <x v="1"/>
  </r>
  <r>
    <n v="1892"/>
    <d v="2023-10-01T00:00:00"/>
    <d v="1899-12-30T07:22:00"/>
    <n v="3"/>
    <x v="0"/>
    <x v="36"/>
    <x v="2"/>
    <n v="1"/>
    <n v="50"/>
    <n v="23.5"/>
    <n v="50"/>
    <x v="1"/>
    <n v="10"/>
    <x v="5"/>
    <n v="1"/>
    <x v="5"/>
    <n v="4"/>
    <n v="26.5"/>
    <n v="0.53"/>
    <n v="0"/>
    <x v="0"/>
  </r>
  <r>
    <n v="601"/>
    <d v="2023-06-05T00:00:00"/>
    <d v="1899-12-30T09:23:00"/>
    <n v="5"/>
    <x v="0"/>
    <x v="4"/>
    <x v="0"/>
    <n v="1"/>
    <n v="30"/>
    <n v="13.2"/>
    <n v="30"/>
    <x v="1"/>
    <n v="6"/>
    <x v="11"/>
    <n v="5"/>
    <x v="1"/>
    <n v="2"/>
    <n v="16.8"/>
    <n v="0.56000000000000005"/>
    <n v="0"/>
    <x v="3"/>
  </r>
  <r>
    <n v="901"/>
    <d v="2023-08-02T00:00:00"/>
    <d v="1899-12-30T06:38:00"/>
    <n v="2"/>
    <x v="0"/>
    <x v="16"/>
    <x v="2"/>
    <n v="1"/>
    <n v="30"/>
    <n v="12"/>
    <n v="30"/>
    <x v="1"/>
    <n v="8"/>
    <x v="4"/>
    <n v="2"/>
    <x v="4"/>
    <n v="3"/>
    <n v="18"/>
    <n v="0.6"/>
    <n v="0"/>
    <x v="1"/>
  </r>
  <r>
    <n v="1601"/>
    <d v="2023-09-14T00:00:00"/>
    <d v="1899-12-30T11:48:00"/>
    <n v="1"/>
    <x v="0"/>
    <x v="4"/>
    <x v="0"/>
    <n v="1"/>
    <n v="30"/>
    <n v="13.5"/>
    <n v="30"/>
    <x v="1"/>
    <n v="9"/>
    <x v="9"/>
    <n v="14"/>
    <x v="2"/>
    <n v="3"/>
    <n v="16.5"/>
    <n v="0.55000000000000004"/>
    <n v="0"/>
    <x v="1"/>
  </r>
  <r>
    <n v="1901"/>
    <d v="2023-11-29T00:00:00"/>
    <d v="1899-12-30T11:05:00"/>
    <n v="4"/>
    <x v="0"/>
    <x v="16"/>
    <x v="2"/>
    <n v="1"/>
    <n v="30"/>
    <n v="8.4"/>
    <n v="30"/>
    <x v="1"/>
    <n v="11"/>
    <x v="0"/>
    <n v="29"/>
    <x v="4"/>
    <n v="4"/>
    <n v="21.6"/>
    <n v="0.72"/>
    <n v="0"/>
    <x v="0"/>
  </r>
  <r>
    <n v="527"/>
    <d v="2023-04-21T00:00:00"/>
    <d v="1899-12-30T11:35:00"/>
    <n v="1"/>
    <x v="0"/>
    <x v="10"/>
    <x v="0"/>
    <n v="2"/>
    <n v="25"/>
    <n v="11.5"/>
    <n v="50"/>
    <x v="1"/>
    <n v="4"/>
    <x v="6"/>
    <n v="21"/>
    <x v="3"/>
    <n v="2"/>
    <n v="38.5"/>
    <n v="0.77"/>
    <n v="0"/>
    <x v="3"/>
  </r>
  <r>
    <n v="1527"/>
    <d v="2023-09-29T00:00:00"/>
    <d v="1899-12-30T08:30:00"/>
    <n v="1"/>
    <x v="0"/>
    <x v="10"/>
    <x v="0"/>
    <n v="2"/>
    <n v="25"/>
    <n v="11.75"/>
    <n v="50"/>
    <x v="1"/>
    <n v="9"/>
    <x v="9"/>
    <n v="29"/>
    <x v="3"/>
    <n v="3"/>
    <n v="38.25"/>
    <n v="0.76500000000000001"/>
    <n v="0"/>
    <x v="1"/>
  </r>
  <r>
    <n v="23"/>
    <d v="2023-09-28T00:00:00"/>
    <d v="1899-12-30T07:05:00"/>
    <n v="4"/>
    <x v="1"/>
    <x v="39"/>
    <x v="0"/>
    <n v="4"/>
    <n v="30"/>
    <n v="14.7"/>
    <n v="120"/>
    <x v="1"/>
    <n v="9"/>
    <x v="9"/>
    <n v="28"/>
    <x v="2"/>
    <n v="3"/>
    <n v="105.3"/>
    <n v="0.87749999999999995"/>
    <n v="0"/>
    <x v="1"/>
  </r>
  <r>
    <n v="174"/>
    <d v="2023-11-15T00:00:00"/>
    <d v="1899-12-30T06:07:00"/>
    <n v="2"/>
    <x v="1"/>
    <x v="27"/>
    <x v="1"/>
    <n v="1"/>
    <n v="300"/>
    <n v="126"/>
    <n v="300"/>
    <x v="1"/>
    <n v="11"/>
    <x v="0"/>
    <n v="15"/>
    <x v="4"/>
    <n v="4"/>
    <n v="174"/>
    <n v="0.57999999999999996"/>
    <n v="1"/>
    <x v="0"/>
  </r>
  <r>
    <n v="589"/>
    <d v="2023-07-08T00:00:00"/>
    <d v="1899-12-30T07:11:00"/>
    <n v="5"/>
    <x v="1"/>
    <x v="31"/>
    <x v="1"/>
    <n v="2"/>
    <n v="500"/>
    <n v="145"/>
    <n v="1000"/>
    <x v="1"/>
    <n v="7"/>
    <x v="1"/>
    <n v="8"/>
    <x v="0"/>
    <n v="3"/>
    <n v="855"/>
    <n v="0.85499999999999998"/>
    <n v="1"/>
    <x v="1"/>
  </r>
  <r>
    <n v="774"/>
    <d v="2023-11-06T00:00:00"/>
    <d v="1899-12-30T09:04:00"/>
    <n v="2"/>
    <x v="1"/>
    <x v="2"/>
    <x v="0"/>
    <n v="2"/>
    <n v="25"/>
    <n v="6.5"/>
    <n v="50"/>
    <x v="1"/>
    <n v="11"/>
    <x v="0"/>
    <n v="6"/>
    <x v="1"/>
    <n v="4"/>
    <n v="43.5"/>
    <n v="0.87"/>
    <n v="0"/>
    <x v="0"/>
  </r>
  <r>
    <n v="1000"/>
    <d v="2023-04-01T00:00:00"/>
    <d v="1899-12-30T10:22:00"/>
    <n v="1"/>
    <x v="0"/>
    <x v="35"/>
    <x v="2"/>
    <n v="4"/>
    <n v="30"/>
    <n v="8.4"/>
    <n v="120"/>
    <x v="1"/>
    <n v="4"/>
    <x v="6"/>
    <n v="1"/>
    <x v="0"/>
    <n v="2"/>
    <n v="111.6"/>
    <n v="0.93"/>
    <n v="0"/>
    <x v="3"/>
  </r>
  <r>
    <n v="1023"/>
    <d v="2023-05-23T00:00:00"/>
    <d v="1899-12-30T08:40:00"/>
    <n v="5"/>
    <x v="1"/>
    <x v="39"/>
    <x v="0"/>
    <n v="4"/>
    <n v="30"/>
    <n v="8.1"/>
    <n v="120"/>
    <x v="1"/>
    <n v="5"/>
    <x v="7"/>
    <n v="23"/>
    <x v="6"/>
    <n v="2"/>
    <n v="111.9"/>
    <n v="0.9325"/>
    <n v="0"/>
    <x v="3"/>
  </r>
  <r>
    <n v="1174"/>
    <d v="2023-05-17T00:00:00"/>
    <d v="1899-12-30T06:55:00"/>
    <n v="2"/>
    <x v="1"/>
    <x v="27"/>
    <x v="1"/>
    <n v="1"/>
    <n v="300"/>
    <n v="132"/>
    <n v="300"/>
    <x v="1"/>
    <n v="5"/>
    <x v="7"/>
    <n v="17"/>
    <x v="4"/>
    <n v="2"/>
    <n v="168"/>
    <n v="0.56000000000000005"/>
    <n v="1"/>
    <x v="3"/>
  </r>
  <r>
    <n v="1589"/>
    <d v="2023-07-01T00:00:00"/>
    <d v="1899-12-30T06:30:00"/>
    <n v="5"/>
    <x v="1"/>
    <x v="31"/>
    <x v="1"/>
    <n v="2"/>
    <n v="500"/>
    <n v="145"/>
    <n v="1000"/>
    <x v="1"/>
    <n v="7"/>
    <x v="1"/>
    <n v="1"/>
    <x v="0"/>
    <n v="3"/>
    <n v="855"/>
    <n v="0.85499999999999998"/>
    <n v="1"/>
    <x v="1"/>
  </r>
  <r>
    <n v="1774"/>
    <d v="2023-03-09T00:00:00"/>
    <d v="1899-12-30T06:48:00"/>
    <n v="2"/>
    <x v="1"/>
    <x v="2"/>
    <x v="0"/>
    <n v="2"/>
    <n v="25"/>
    <n v="8"/>
    <n v="50"/>
    <x v="1"/>
    <n v="3"/>
    <x v="8"/>
    <n v="9"/>
    <x v="2"/>
    <n v="1"/>
    <n v="42"/>
    <n v="0.84"/>
    <n v="0"/>
    <x v="2"/>
  </r>
  <r>
    <n v="2000"/>
    <d v="2023-03-31T00:00:00"/>
    <d v="1899-12-30T06:38:00"/>
    <n v="4"/>
    <x v="0"/>
    <x v="35"/>
    <x v="2"/>
    <n v="4"/>
    <n v="30"/>
    <n v="10.8"/>
    <n v="120"/>
    <x v="1"/>
    <n v="3"/>
    <x v="8"/>
    <n v="31"/>
    <x v="3"/>
    <n v="1"/>
    <n v="109.2"/>
    <n v="0.91"/>
    <n v="0"/>
    <x v="2"/>
  </r>
  <r>
    <n v="210"/>
    <d v="2023-10-07T00:00:00"/>
    <d v="1899-12-30T08:50:00"/>
    <n v="2"/>
    <x v="0"/>
    <x v="5"/>
    <x v="2"/>
    <n v="4"/>
    <n v="50"/>
    <n v="19"/>
    <n v="200"/>
    <x v="1"/>
    <n v="10"/>
    <x v="5"/>
    <n v="7"/>
    <x v="0"/>
    <n v="4"/>
    <n v="181"/>
    <n v="0.90500000000000003"/>
    <n v="1"/>
    <x v="0"/>
  </r>
  <r>
    <n v="478"/>
    <d v="2023-07-24T00:00:00"/>
    <d v="1899-12-30T11:13:00"/>
    <n v="3"/>
    <x v="1"/>
    <x v="43"/>
    <x v="0"/>
    <n v="2"/>
    <n v="30"/>
    <n v="8.1"/>
    <n v="60"/>
    <x v="1"/>
    <n v="7"/>
    <x v="1"/>
    <n v="24"/>
    <x v="1"/>
    <n v="3"/>
    <n v="51.9"/>
    <n v="0.86499999999999999"/>
    <n v="0"/>
    <x v="1"/>
  </r>
  <r>
    <n v="745"/>
    <d v="2023-08-14T00:00:00"/>
    <d v="1899-12-30T07:30:00"/>
    <n v="3"/>
    <x v="0"/>
    <x v="29"/>
    <x v="1"/>
    <n v="2"/>
    <n v="50"/>
    <n v="17"/>
    <n v="100"/>
    <x v="1"/>
    <n v="8"/>
    <x v="4"/>
    <n v="14"/>
    <x v="1"/>
    <n v="3"/>
    <n v="83"/>
    <n v="0.83"/>
    <n v="0"/>
    <x v="1"/>
  </r>
  <r>
    <n v="1210"/>
    <d v="2023-03-10T00:00:00"/>
    <d v="1899-12-30T10:02:00"/>
    <n v="5"/>
    <x v="0"/>
    <x v="5"/>
    <x v="2"/>
    <n v="4"/>
    <n v="50"/>
    <n v="12.5"/>
    <n v="200"/>
    <x v="1"/>
    <n v="3"/>
    <x v="8"/>
    <n v="10"/>
    <x v="3"/>
    <n v="1"/>
    <n v="187.5"/>
    <n v="0.9375"/>
    <n v="1"/>
    <x v="2"/>
  </r>
  <r>
    <n v="1478"/>
    <d v="2023-08-31T00:00:00"/>
    <d v="1899-12-30T09:18:00"/>
    <n v="1"/>
    <x v="1"/>
    <x v="43"/>
    <x v="0"/>
    <n v="2"/>
    <n v="30"/>
    <n v="13.5"/>
    <n v="60"/>
    <x v="1"/>
    <n v="8"/>
    <x v="4"/>
    <n v="31"/>
    <x v="2"/>
    <n v="3"/>
    <n v="46.5"/>
    <n v="0.77500000000000002"/>
    <n v="0"/>
    <x v="1"/>
  </r>
  <r>
    <n v="1745"/>
    <d v="2023-09-28T00:00:00"/>
    <d v="1899-12-30T10:38:00"/>
    <n v="4"/>
    <x v="0"/>
    <x v="29"/>
    <x v="1"/>
    <n v="2"/>
    <n v="50"/>
    <n v="21"/>
    <n v="100"/>
    <x v="1"/>
    <n v="9"/>
    <x v="9"/>
    <n v="28"/>
    <x v="2"/>
    <n v="3"/>
    <n v="79"/>
    <n v="0.79"/>
    <n v="0"/>
    <x v="1"/>
  </r>
  <r>
    <n v="354"/>
    <d v="2023-12-16T00:00:00"/>
    <d v="1899-12-30T07:58:00"/>
    <n v="5"/>
    <x v="1"/>
    <x v="28"/>
    <x v="1"/>
    <n v="4"/>
    <n v="50"/>
    <n v="24.5"/>
    <n v="200"/>
    <x v="1"/>
    <n v="12"/>
    <x v="2"/>
    <n v="16"/>
    <x v="0"/>
    <n v="4"/>
    <n v="175.5"/>
    <n v="0.87749999999999995"/>
    <n v="1"/>
    <x v="0"/>
  </r>
  <r>
    <n v="408"/>
    <d v="2023-12-22T00:00:00"/>
    <d v="1899-12-30T08:18:00"/>
    <n v="4"/>
    <x v="1"/>
    <x v="3"/>
    <x v="1"/>
    <n v="1"/>
    <n v="500"/>
    <n v="140"/>
    <n v="500"/>
    <x v="1"/>
    <n v="12"/>
    <x v="2"/>
    <n v="22"/>
    <x v="3"/>
    <n v="4"/>
    <n v="360"/>
    <n v="0.72"/>
    <n v="1"/>
    <x v="0"/>
  </r>
  <r>
    <n v="1354"/>
    <d v="2023-09-17T00:00:00"/>
    <d v="1899-12-30T09:34:00"/>
    <n v="5"/>
    <x v="1"/>
    <x v="28"/>
    <x v="1"/>
    <n v="4"/>
    <n v="50"/>
    <n v="26.5"/>
    <n v="200"/>
    <x v="1"/>
    <n v="9"/>
    <x v="9"/>
    <n v="17"/>
    <x v="5"/>
    <n v="3"/>
    <n v="173.5"/>
    <n v="0.86750000000000005"/>
    <n v="1"/>
    <x v="1"/>
  </r>
  <r>
    <n v="1408"/>
    <d v="2023-08-28T00:00:00"/>
    <d v="1899-12-30T08:17:00"/>
    <n v="2"/>
    <x v="1"/>
    <x v="3"/>
    <x v="1"/>
    <n v="1"/>
    <n v="500"/>
    <n v="250"/>
    <n v="500"/>
    <x v="1"/>
    <n v="8"/>
    <x v="4"/>
    <n v="28"/>
    <x v="1"/>
    <n v="3"/>
    <n v="250"/>
    <n v="0.5"/>
    <n v="1"/>
    <x v="1"/>
  </r>
  <r>
    <n v="674"/>
    <d v="2023-03-30T00:00:00"/>
    <d v="1899-12-30T11:10:00"/>
    <n v="2"/>
    <x v="1"/>
    <x v="9"/>
    <x v="0"/>
    <n v="1"/>
    <n v="300"/>
    <n v="84"/>
    <n v="300"/>
    <x v="1"/>
    <n v="3"/>
    <x v="8"/>
    <n v="30"/>
    <x v="2"/>
    <n v="1"/>
    <n v="216"/>
    <n v="0.72"/>
    <n v="1"/>
    <x v="2"/>
  </r>
  <r>
    <n v="1674"/>
    <d v="2023-11-22T00:00:00"/>
    <d v="1899-12-30T09:21:00"/>
    <n v="1"/>
    <x v="1"/>
    <x v="9"/>
    <x v="0"/>
    <n v="1"/>
    <n v="300"/>
    <n v="123"/>
    <n v="300"/>
    <x v="1"/>
    <n v="11"/>
    <x v="0"/>
    <n v="22"/>
    <x v="4"/>
    <n v="4"/>
    <n v="177"/>
    <n v="0.59"/>
    <n v="1"/>
    <x v="0"/>
  </r>
  <r>
    <n v="967"/>
    <d v="2023-08-04T00:00:00"/>
    <d v="1899-12-30T10:13:00"/>
    <n v="4"/>
    <x v="0"/>
    <x v="44"/>
    <x v="1"/>
    <n v="1"/>
    <n v="25"/>
    <n v="13.25"/>
    <n v="25"/>
    <x v="1"/>
    <n v="8"/>
    <x v="4"/>
    <n v="4"/>
    <x v="3"/>
    <n v="3"/>
    <n v="11.75"/>
    <n v="0.47"/>
    <n v="0"/>
    <x v="1"/>
  </r>
  <r>
    <n v="1967"/>
    <d v="2023-02-23T00:00:00"/>
    <d v="1899-12-30T08:28:00"/>
    <n v="4"/>
    <x v="0"/>
    <x v="44"/>
    <x v="1"/>
    <n v="1"/>
    <n v="25"/>
    <n v="12.25"/>
    <n v="25"/>
    <x v="1"/>
    <n v="2"/>
    <x v="10"/>
    <n v="23"/>
    <x v="2"/>
    <n v="1"/>
    <n v="12.75"/>
    <n v="0.51"/>
    <n v="0"/>
    <x v="2"/>
  </r>
  <r>
    <n v="79"/>
    <d v="2023-04-13T00:00:00"/>
    <d v="1899-12-30T10:15:00"/>
    <n v="1"/>
    <x v="0"/>
    <x v="23"/>
    <x v="1"/>
    <n v="1"/>
    <n v="300"/>
    <n v="96"/>
    <n v="300"/>
    <x v="1"/>
    <n v="4"/>
    <x v="6"/>
    <n v="13"/>
    <x v="2"/>
    <n v="2"/>
    <n v="204"/>
    <n v="0.68"/>
    <n v="1"/>
    <x v="3"/>
  </r>
  <r>
    <n v="406"/>
    <d v="2023-04-01T00:00:00"/>
    <d v="1899-12-30T11:50:00"/>
    <n v="3"/>
    <x v="1"/>
    <x v="30"/>
    <x v="1"/>
    <n v="4"/>
    <n v="25"/>
    <n v="11"/>
    <n v="100"/>
    <x v="1"/>
    <n v="4"/>
    <x v="6"/>
    <n v="1"/>
    <x v="0"/>
    <n v="2"/>
    <n v="89"/>
    <n v="0.89"/>
    <n v="0"/>
    <x v="3"/>
  </r>
  <r>
    <n v="450"/>
    <d v="2023-12-01T00:00:00"/>
    <d v="1899-12-30T06:35:00"/>
    <n v="2"/>
    <x v="1"/>
    <x v="26"/>
    <x v="1"/>
    <n v="2"/>
    <n v="25"/>
    <n v="11"/>
    <n v="50"/>
    <x v="1"/>
    <n v="12"/>
    <x v="2"/>
    <n v="1"/>
    <x v="3"/>
    <n v="4"/>
    <n v="39"/>
    <n v="0.78"/>
    <n v="0"/>
    <x v="0"/>
  </r>
  <r>
    <n v="562"/>
    <d v="2023-11-09T00:00:00"/>
    <d v="1899-12-30T09:26:00"/>
    <n v="3"/>
    <x v="0"/>
    <x v="29"/>
    <x v="2"/>
    <n v="2"/>
    <n v="25"/>
    <n v="7.25"/>
    <n v="50"/>
    <x v="1"/>
    <n v="11"/>
    <x v="0"/>
    <n v="9"/>
    <x v="2"/>
    <n v="4"/>
    <n v="42.75"/>
    <n v="0.85499999999999998"/>
    <n v="0"/>
    <x v="0"/>
  </r>
  <r>
    <n v="1079"/>
    <d v="2023-08-21T00:00:00"/>
    <d v="1899-12-30T06:45:00"/>
    <n v="1"/>
    <x v="0"/>
    <x v="23"/>
    <x v="1"/>
    <n v="1"/>
    <n v="300"/>
    <n v="117"/>
    <n v="300"/>
    <x v="1"/>
    <n v="8"/>
    <x v="4"/>
    <n v="21"/>
    <x v="1"/>
    <n v="3"/>
    <n v="183"/>
    <n v="0.61"/>
    <n v="1"/>
    <x v="1"/>
  </r>
  <r>
    <n v="1406"/>
    <d v="2023-06-22T00:00:00"/>
    <d v="1899-12-30T08:45:00"/>
    <n v="2"/>
    <x v="1"/>
    <x v="30"/>
    <x v="1"/>
    <n v="4"/>
    <n v="25"/>
    <n v="10"/>
    <n v="100"/>
    <x v="1"/>
    <n v="6"/>
    <x v="11"/>
    <n v="22"/>
    <x v="2"/>
    <n v="2"/>
    <n v="90"/>
    <n v="0.9"/>
    <n v="0"/>
    <x v="3"/>
  </r>
  <r>
    <n v="1450"/>
    <d v="2023-07-16T00:00:00"/>
    <d v="1899-12-30T08:52:00"/>
    <n v="1"/>
    <x v="1"/>
    <x v="26"/>
    <x v="1"/>
    <n v="2"/>
    <n v="25"/>
    <n v="10.25"/>
    <n v="50"/>
    <x v="1"/>
    <n v="7"/>
    <x v="1"/>
    <n v="16"/>
    <x v="5"/>
    <n v="3"/>
    <n v="39.75"/>
    <n v="0.79500000000000004"/>
    <n v="0"/>
    <x v="1"/>
  </r>
  <r>
    <n v="1562"/>
    <d v="2023-11-26T00:00:00"/>
    <d v="1899-12-30T10:21:00"/>
    <n v="5"/>
    <x v="0"/>
    <x v="29"/>
    <x v="2"/>
    <n v="2"/>
    <n v="25"/>
    <n v="12.75"/>
    <n v="50"/>
    <x v="1"/>
    <n v="11"/>
    <x v="0"/>
    <n v="26"/>
    <x v="5"/>
    <n v="4"/>
    <n v="37.25"/>
    <n v="0.745"/>
    <n v="0"/>
    <x v="0"/>
  </r>
  <r>
    <n v="108"/>
    <d v="2023-01-24T00:00:00"/>
    <d v="1899-12-30T09:38:00"/>
    <n v="5"/>
    <x v="1"/>
    <x v="17"/>
    <x v="1"/>
    <n v="3"/>
    <n v="25"/>
    <n v="13.5"/>
    <n v="75"/>
    <x v="1"/>
    <n v="1"/>
    <x v="3"/>
    <n v="24"/>
    <x v="6"/>
    <n v="1"/>
    <n v="61.5"/>
    <n v="0.82"/>
    <n v="0"/>
    <x v="2"/>
  </r>
  <r>
    <n v="111"/>
    <d v="2023-04-15T00:00:00"/>
    <d v="1899-12-30T09:45:00"/>
    <n v="5"/>
    <x v="1"/>
    <x v="23"/>
    <x v="2"/>
    <n v="3"/>
    <n v="500"/>
    <n v="130"/>
    <n v="1500"/>
    <x v="1"/>
    <n v="4"/>
    <x v="6"/>
    <n v="15"/>
    <x v="0"/>
    <n v="2"/>
    <n v="1370"/>
    <n v="0.91333333299999997"/>
    <n v="1"/>
    <x v="3"/>
  </r>
  <r>
    <n v="207"/>
    <d v="2023-08-06T00:00:00"/>
    <d v="1899-12-30T08:34:00"/>
    <n v="3"/>
    <x v="1"/>
    <x v="25"/>
    <x v="1"/>
    <n v="2"/>
    <n v="25"/>
    <n v="10.25"/>
    <n v="50"/>
    <x v="1"/>
    <n v="8"/>
    <x v="4"/>
    <n v="6"/>
    <x v="5"/>
    <n v="3"/>
    <n v="39.75"/>
    <n v="0.79500000000000004"/>
    <n v="0"/>
    <x v="1"/>
  </r>
  <r>
    <n v="724"/>
    <d v="2023-06-14T00:00:00"/>
    <d v="1899-12-30T06:56:00"/>
    <n v="3"/>
    <x v="0"/>
    <x v="45"/>
    <x v="0"/>
    <n v="3"/>
    <n v="50"/>
    <n v="20"/>
    <n v="150"/>
    <x v="1"/>
    <n v="6"/>
    <x v="11"/>
    <n v="14"/>
    <x v="4"/>
    <n v="2"/>
    <n v="130"/>
    <n v="0.86666666699999995"/>
    <n v="1"/>
    <x v="3"/>
  </r>
  <r>
    <n v="836"/>
    <d v="2023-06-21T00:00:00"/>
    <d v="1899-12-30T06:32:00"/>
    <n v="2"/>
    <x v="1"/>
    <x v="30"/>
    <x v="0"/>
    <n v="1"/>
    <n v="50"/>
    <n v="27.5"/>
    <n v="50"/>
    <x v="1"/>
    <n v="6"/>
    <x v="11"/>
    <n v="21"/>
    <x v="4"/>
    <n v="2"/>
    <n v="22.5"/>
    <n v="0.45"/>
    <n v="0"/>
    <x v="3"/>
  </r>
  <r>
    <n v="969"/>
    <d v="2023-11-27T00:00:00"/>
    <d v="1899-12-30T11:47:00"/>
    <n v="2"/>
    <x v="1"/>
    <x v="2"/>
    <x v="0"/>
    <n v="3"/>
    <n v="300"/>
    <n v="84"/>
    <n v="900"/>
    <x v="1"/>
    <n v="11"/>
    <x v="0"/>
    <n v="27"/>
    <x v="1"/>
    <n v="4"/>
    <n v="816"/>
    <n v="0.90666666699999998"/>
    <n v="1"/>
    <x v="0"/>
  </r>
  <r>
    <n v="1108"/>
    <d v="2023-07-08T00:00:00"/>
    <d v="1899-12-30T10:27:00"/>
    <n v="1"/>
    <x v="1"/>
    <x v="17"/>
    <x v="1"/>
    <n v="3"/>
    <n v="25"/>
    <n v="10"/>
    <n v="75"/>
    <x v="1"/>
    <n v="7"/>
    <x v="1"/>
    <n v="8"/>
    <x v="0"/>
    <n v="3"/>
    <n v="65"/>
    <n v="0.86666666699999995"/>
    <n v="0"/>
    <x v="1"/>
  </r>
  <r>
    <n v="1111"/>
    <d v="2023-04-30T00:00:00"/>
    <d v="1899-12-30T21:34:00"/>
    <n v="2"/>
    <x v="1"/>
    <x v="23"/>
    <x v="2"/>
    <n v="3"/>
    <n v="500"/>
    <n v="185"/>
    <n v="1500"/>
    <x v="1"/>
    <n v="4"/>
    <x v="6"/>
    <n v="30"/>
    <x v="5"/>
    <n v="2"/>
    <n v="1315"/>
    <n v="0.87666666699999996"/>
    <n v="1"/>
    <x v="3"/>
  </r>
  <r>
    <n v="1207"/>
    <d v="2023-06-30T00:00:00"/>
    <d v="1899-12-30T21:48:00"/>
    <n v="3"/>
    <x v="1"/>
    <x v="25"/>
    <x v="1"/>
    <n v="2"/>
    <n v="25"/>
    <n v="10"/>
    <n v="50"/>
    <x v="1"/>
    <n v="6"/>
    <x v="11"/>
    <n v="30"/>
    <x v="3"/>
    <n v="2"/>
    <n v="40"/>
    <n v="0.8"/>
    <n v="0"/>
    <x v="3"/>
  </r>
  <r>
    <n v="1724"/>
    <d v="2023-09-15T00:00:00"/>
    <d v="1899-12-30T20:53:00"/>
    <n v="4"/>
    <x v="0"/>
    <x v="45"/>
    <x v="0"/>
    <n v="3"/>
    <n v="50"/>
    <n v="17"/>
    <n v="150"/>
    <x v="1"/>
    <n v="9"/>
    <x v="9"/>
    <n v="15"/>
    <x v="3"/>
    <n v="3"/>
    <n v="133"/>
    <n v="0.88666666699999996"/>
    <n v="1"/>
    <x v="1"/>
  </r>
  <r>
    <n v="1836"/>
    <d v="2023-02-13T00:00:00"/>
    <d v="1899-12-30T17:19:00"/>
    <n v="3"/>
    <x v="1"/>
    <x v="30"/>
    <x v="0"/>
    <n v="1"/>
    <n v="50"/>
    <n v="23.5"/>
    <n v="50"/>
    <x v="1"/>
    <n v="2"/>
    <x v="10"/>
    <n v="13"/>
    <x v="1"/>
    <n v="1"/>
    <n v="26.5"/>
    <n v="0.53"/>
    <n v="0"/>
    <x v="2"/>
  </r>
  <r>
    <n v="1969"/>
    <d v="2023-03-05T00:00:00"/>
    <d v="1899-12-30T19:34:00"/>
    <n v="4"/>
    <x v="1"/>
    <x v="2"/>
    <x v="0"/>
    <n v="3"/>
    <n v="300"/>
    <n v="126"/>
    <n v="900"/>
    <x v="1"/>
    <n v="3"/>
    <x v="8"/>
    <n v="5"/>
    <x v="5"/>
    <n v="1"/>
    <n v="774"/>
    <n v="0.86"/>
    <n v="1"/>
    <x v="2"/>
  </r>
  <r>
    <n v="246"/>
    <d v="2023-12-07T00:00:00"/>
    <d v="1899-12-30T20:05:00"/>
    <n v="4"/>
    <x v="1"/>
    <x v="42"/>
    <x v="2"/>
    <n v="2"/>
    <n v="25"/>
    <n v="13.25"/>
    <n v="50"/>
    <x v="1"/>
    <n v="12"/>
    <x v="2"/>
    <n v="7"/>
    <x v="2"/>
    <n v="4"/>
    <n v="36.75"/>
    <n v="0.73499999999999999"/>
    <n v="0"/>
    <x v="0"/>
  </r>
  <r>
    <n v="298"/>
    <d v="2023-10-05T00:00:00"/>
    <d v="1899-12-30T19:05:00"/>
    <n v="3"/>
    <x v="0"/>
    <x v="17"/>
    <x v="1"/>
    <n v="4"/>
    <n v="300"/>
    <n v="84"/>
    <n v="1200"/>
    <x v="1"/>
    <n v="10"/>
    <x v="5"/>
    <n v="5"/>
    <x v="2"/>
    <n v="4"/>
    <n v="1116"/>
    <n v="0.93"/>
    <n v="1"/>
    <x v="0"/>
  </r>
  <r>
    <n v="374"/>
    <d v="2023-10-27T00:00:00"/>
    <d v="1899-12-30T17:45:00"/>
    <n v="4"/>
    <x v="1"/>
    <x v="26"/>
    <x v="1"/>
    <n v="3"/>
    <n v="25"/>
    <n v="7.75"/>
    <n v="75"/>
    <x v="1"/>
    <n v="10"/>
    <x v="5"/>
    <n v="27"/>
    <x v="3"/>
    <n v="4"/>
    <n v="67.25"/>
    <n v="0.89666666699999997"/>
    <n v="0"/>
    <x v="0"/>
  </r>
  <r>
    <n v="572"/>
    <d v="2023-12-13T00:00:00"/>
    <d v="1899-12-30T18:33:00"/>
    <n v="5"/>
    <x v="0"/>
    <x v="16"/>
    <x v="0"/>
    <n v="4"/>
    <n v="500"/>
    <n v="185"/>
    <n v="2000"/>
    <x v="1"/>
    <n v="12"/>
    <x v="2"/>
    <n v="13"/>
    <x v="4"/>
    <n v="4"/>
    <n v="1815"/>
    <n v="0.90749999999999997"/>
    <n v="1"/>
    <x v="0"/>
  </r>
  <r>
    <n v="665"/>
    <d v="2023-10-03T00:00:00"/>
    <d v="1899-12-30T22:49:00"/>
    <n v="1"/>
    <x v="0"/>
    <x v="10"/>
    <x v="0"/>
    <n v="1"/>
    <n v="50"/>
    <n v="19"/>
    <n v="50"/>
    <x v="1"/>
    <n v="10"/>
    <x v="5"/>
    <n v="3"/>
    <x v="6"/>
    <n v="4"/>
    <n v="31"/>
    <n v="0.62"/>
    <n v="0"/>
    <x v="0"/>
  </r>
  <r>
    <n v="1246"/>
    <d v="2023-04-26T00:00:00"/>
    <d v="1899-12-30T22:54:00"/>
    <n v="3"/>
    <x v="1"/>
    <x v="42"/>
    <x v="2"/>
    <n v="2"/>
    <n v="25"/>
    <n v="11.5"/>
    <n v="50"/>
    <x v="1"/>
    <n v="4"/>
    <x v="6"/>
    <n v="26"/>
    <x v="4"/>
    <n v="2"/>
    <n v="38.5"/>
    <n v="0.77"/>
    <n v="0"/>
    <x v="3"/>
  </r>
  <r>
    <n v="1298"/>
    <d v="2023-05-02T00:00:00"/>
    <d v="1899-12-30T19:51:00"/>
    <n v="1"/>
    <x v="0"/>
    <x v="17"/>
    <x v="1"/>
    <n v="4"/>
    <n v="300"/>
    <n v="120"/>
    <n v="1200"/>
    <x v="1"/>
    <n v="5"/>
    <x v="7"/>
    <n v="2"/>
    <x v="6"/>
    <n v="2"/>
    <n v="1080"/>
    <n v="0.9"/>
    <n v="1"/>
    <x v="3"/>
  </r>
  <r>
    <n v="1374"/>
    <d v="2023-03-23T00:00:00"/>
    <d v="1899-12-30T22:03:00"/>
    <n v="3"/>
    <x v="1"/>
    <x v="26"/>
    <x v="1"/>
    <n v="3"/>
    <n v="25"/>
    <n v="8.25"/>
    <n v="75"/>
    <x v="1"/>
    <n v="3"/>
    <x v="8"/>
    <n v="23"/>
    <x v="2"/>
    <n v="1"/>
    <n v="66.75"/>
    <n v="0.89"/>
    <n v="0"/>
    <x v="2"/>
  </r>
  <r>
    <n v="1572"/>
    <d v="2023-06-18T00:00:00"/>
    <d v="1899-12-30T22:20:00"/>
    <n v="1"/>
    <x v="0"/>
    <x v="16"/>
    <x v="0"/>
    <n v="4"/>
    <n v="500"/>
    <n v="175"/>
    <n v="2000"/>
    <x v="1"/>
    <n v="6"/>
    <x v="11"/>
    <n v="18"/>
    <x v="5"/>
    <n v="2"/>
    <n v="1825"/>
    <n v="0.91249999999999998"/>
    <n v="1"/>
    <x v="3"/>
  </r>
  <r>
    <n v="1665"/>
    <d v="2023-11-01T00:00:00"/>
    <d v="1899-12-30T19:38:00"/>
    <n v="4"/>
    <x v="0"/>
    <x v="10"/>
    <x v="0"/>
    <n v="1"/>
    <n v="50"/>
    <n v="14"/>
    <n v="50"/>
    <x v="1"/>
    <n v="11"/>
    <x v="0"/>
    <n v="1"/>
    <x v="4"/>
    <n v="4"/>
    <n v="36"/>
    <n v="0.72"/>
    <n v="0"/>
    <x v="0"/>
  </r>
  <r>
    <n v="39"/>
    <d v="2023-07-11T00:00:00"/>
    <d v="1899-12-30T22:44:00"/>
    <n v="5"/>
    <x v="0"/>
    <x v="8"/>
    <x v="0"/>
    <n v="4"/>
    <n v="30"/>
    <n v="8.6999999999999993"/>
    <n v="120"/>
    <x v="1"/>
    <n v="7"/>
    <x v="1"/>
    <n v="11"/>
    <x v="6"/>
    <n v="3"/>
    <n v="111.3"/>
    <n v="0.92749999999999999"/>
    <n v="0"/>
    <x v="1"/>
  </r>
  <r>
    <n v="893"/>
    <d v="2023-04-29T00:00:00"/>
    <d v="1899-12-30T18:52:00"/>
    <n v="1"/>
    <x v="0"/>
    <x v="28"/>
    <x v="2"/>
    <n v="1"/>
    <n v="50"/>
    <n v="17"/>
    <n v="50"/>
    <x v="1"/>
    <n v="4"/>
    <x v="6"/>
    <n v="29"/>
    <x v="0"/>
    <n v="2"/>
    <n v="33"/>
    <n v="0.66"/>
    <n v="0"/>
    <x v="3"/>
  </r>
  <r>
    <n v="1039"/>
    <d v="2023-12-03T00:00:00"/>
    <d v="1899-12-30T20:01:00"/>
    <n v="1"/>
    <x v="0"/>
    <x v="8"/>
    <x v="0"/>
    <n v="4"/>
    <n v="30"/>
    <n v="13.8"/>
    <n v="120"/>
    <x v="1"/>
    <n v="12"/>
    <x v="2"/>
    <n v="3"/>
    <x v="5"/>
    <n v="4"/>
    <n v="106.2"/>
    <n v="0.88500000000000001"/>
    <n v="0"/>
    <x v="0"/>
  </r>
  <r>
    <n v="1893"/>
    <d v="2023-02-25T00:00:00"/>
    <d v="1899-12-30T17:04:00"/>
    <n v="3"/>
    <x v="0"/>
    <x v="28"/>
    <x v="2"/>
    <n v="1"/>
    <n v="50"/>
    <n v="22.5"/>
    <n v="50"/>
    <x v="1"/>
    <n v="2"/>
    <x v="10"/>
    <n v="25"/>
    <x v="0"/>
    <n v="1"/>
    <n v="27.5"/>
    <n v="0.55000000000000004"/>
    <n v="0"/>
    <x v="2"/>
  </r>
  <r>
    <n v="17"/>
    <d v="2023-02-25T00:00:00"/>
    <d v="1899-12-30T21:08:00"/>
    <n v="3"/>
    <x v="1"/>
    <x v="17"/>
    <x v="0"/>
    <n v="4"/>
    <n v="25"/>
    <n v="13"/>
    <n v="100"/>
    <x v="1"/>
    <n v="2"/>
    <x v="10"/>
    <n v="25"/>
    <x v="0"/>
    <n v="1"/>
    <n v="87"/>
    <n v="0.87"/>
    <n v="0"/>
    <x v="2"/>
  </r>
  <r>
    <n v="316"/>
    <d v="2023-02-01T00:00:00"/>
    <d v="1899-12-30T17:25:00"/>
    <n v="3"/>
    <x v="1"/>
    <x v="42"/>
    <x v="0"/>
    <n v="2"/>
    <n v="25"/>
    <n v="13.75"/>
    <n v="50"/>
    <x v="1"/>
    <n v="2"/>
    <x v="10"/>
    <n v="1"/>
    <x v="4"/>
    <n v="1"/>
    <n v="36.25"/>
    <n v="0.72499999999999998"/>
    <n v="0"/>
    <x v="2"/>
  </r>
  <r>
    <n v="755"/>
    <d v="2023-11-27T00:00:00"/>
    <d v="1899-12-30T20:07:00"/>
    <n v="1"/>
    <x v="1"/>
    <x v="43"/>
    <x v="0"/>
    <n v="3"/>
    <n v="25"/>
    <n v="6.75"/>
    <n v="75"/>
    <x v="1"/>
    <n v="11"/>
    <x v="0"/>
    <n v="27"/>
    <x v="1"/>
    <n v="4"/>
    <n v="68.25"/>
    <n v="0.91"/>
    <n v="0"/>
    <x v="0"/>
  </r>
  <r>
    <n v="1017"/>
    <d v="2023-09-05T00:00:00"/>
    <d v="1899-12-30T18:41:00"/>
    <n v="2"/>
    <x v="1"/>
    <x v="17"/>
    <x v="0"/>
    <n v="4"/>
    <n v="25"/>
    <n v="12"/>
    <n v="100"/>
    <x v="1"/>
    <n v="9"/>
    <x v="9"/>
    <n v="5"/>
    <x v="6"/>
    <n v="3"/>
    <n v="88"/>
    <n v="0.88"/>
    <n v="0"/>
    <x v="1"/>
  </r>
  <r>
    <n v="1316"/>
    <d v="2023-07-21T00:00:00"/>
    <d v="1899-12-30T17:11:00"/>
    <n v="1"/>
    <x v="1"/>
    <x v="42"/>
    <x v="0"/>
    <n v="2"/>
    <n v="25"/>
    <n v="11.75"/>
    <n v="50"/>
    <x v="1"/>
    <n v="7"/>
    <x v="1"/>
    <n v="21"/>
    <x v="3"/>
    <n v="3"/>
    <n v="38.25"/>
    <n v="0.76500000000000001"/>
    <n v="0"/>
    <x v="1"/>
  </r>
  <r>
    <n v="1755"/>
    <d v="2023-05-23T00:00:00"/>
    <d v="1899-12-30T21:47:00"/>
    <n v="2"/>
    <x v="1"/>
    <x v="43"/>
    <x v="0"/>
    <n v="3"/>
    <n v="25"/>
    <n v="8"/>
    <n v="75"/>
    <x v="1"/>
    <n v="5"/>
    <x v="7"/>
    <n v="23"/>
    <x v="6"/>
    <n v="2"/>
    <n v="67"/>
    <n v="0.89333333299999995"/>
    <n v="0"/>
    <x v="3"/>
  </r>
  <r>
    <n v="28"/>
    <d v="2023-12-11T00:00:00"/>
    <d v="1899-12-30T22:34:00"/>
    <n v="3"/>
    <x v="1"/>
    <x v="22"/>
    <x v="1"/>
    <n v="1"/>
    <n v="500"/>
    <n v="150"/>
    <n v="500"/>
    <x v="1"/>
    <n v="12"/>
    <x v="2"/>
    <n v="11"/>
    <x v="1"/>
    <n v="4"/>
    <n v="350"/>
    <n v="0.7"/>
    <n v="1"/>
    <x v="0"/>
  </r>
  <r>
    <n v="98"/>
    <d v="2023-04-09T00:00:00"/>
    <d v="1899-12-30T19:41:00"/>
    <n v="1"/>
    <x v="1"/>
    <x v="46"/>
    <x v="1"/>
    <n v="2"/>
    <n v="50"/>
    <n v="19.5"/>
    <n v="100"/>
    <x v="1"/>
    <n v="4"/>
    <x v="6"/>
    <n v="9"/>
    <x v="5"/>
    <n v="2"/>
    <n v="80.5"/>
    <n v="0.80500000000000005"/>
    <n v="0"/>
    <x v="3"/>
  </r>
  <r>
    <n v="129"/>
    <d v="2023-04-17T00:00:00"/>
    <d v="1899-12-30T17:42:00"/>
    <n v="1"/>
    <x v="1"/>
    <x v="40"/>
    <x v="1"/>
    <n v="2"/>
    <n v="300"/>
    <n v="75"/>
    <n v="600"/>
    <x v="1"/>
    <n v="4"/>
    <x v="6"/>
    <n v="17"/>
    <x v="1"/>
    <n v="2"/>
    <n v="525"/>
    <n v="0.875"/>
    <n v="1"/>
    <x v="3"/>
  </r>
  <r>
    <n v="230"/>
    <d v="2023-03-26T00:00:00"/>
    <d v="1899-12-30T17:44:00"/>
    <n v="5"/>
    <x v="0"/>
    <x v="29"/>
    <x v="1"/>
    <n v="1"/>
    <n v="25"/>
    <n v="12.5"/>
    <n v="25"/>
    <x v="1"/>
    <n v="3"/>
    <x v="8"/>
    <n v="26"/>
    <x v="5"/>
    <n v="1"/>
    <n v="12.5"/>
    <n v="0.5"/>
    <n v="0"/>
    <x v="2"/>
  </r>
  <r>
    <n v="613"/>
    <d v="2023-05-08T00:00:00"/>
    <d v="1899-12-30T17:23:00"/>
    <n v="2"/>
    <x v="1"/>
    <x v="41"/>
    <x v="0"/>
    <n v="3"/>
    <n v="30"/>
    <n v="11.4"/>
    <n v="90"/>
    <x v="1"/>
    <n v="5"/>
    <x v="7"/>
    <n v="8"/>
    <x v="1"/>
    <n v="2"/>
    <n v="78.599999999999994"/>
    <n v="0.87333333300000004"/>
    <n v="0"/>
    <x v="3"/>
  </r>
  <r>
    <n v="691"/>
    <d v="2023-05-12T00:00:00"/>
    <d v="1899-12-30T21:09:00"/>
    <n v="5"/>
    <x v="1"/>
    <x v="12"/>
    <x v="0"/>
    <n v="3"/>
    <n v="30"/>
    <n v="14.7"/>
    <n v="90"/>
    <x v="1"/>
    <n v="5"/>
    <x v="7"/>
    <n v="12"/>
    <x v="3"/>
    <n v="2"/>
    <n v="75.3"/>
    <n v="0.83666666700000003"/>
    <n v="0"/>
    <x v="3"/>
  </r>
  <r>
    <n v="693"/>
    <d v="2023-06-08T00:00:00"/>
    <d v="1899-12-30T17:12:00"/>
    <n v="1"/>
    <x v="0"/>
    <x v="0"/>
    <x v="1"/>
    <n v="3"/>
    <n v="500"/>
    <n v="270"/>
    <n v="1500"/>
    <x v="1"/>
    <n v="6"/>
    <x v="11"/>
    <n v="8"/>
    <x v="2"/>
    <n v="2"/>
    <n v="1230"/>
    <n v="0.82"/>
    <n v="1"/>
    <x v="3"/>
  </r>
  <r>
    <n v="1028"/>
    <d v="2023-03-09T00:00:00"/>
    <d v="1899-12-30T18:09:00"/>
    <n v="1"/>
    <x v="1"/>
    <x v="22"/>
    <x v="1"/>
    <n v="1"/>
    <n v="500"/>
    <n v="250"/>
    <n v="500"/>
    <x v="1"/>
    <n v="3"/>
    <x v="8"/>
    <n v="9"/>
    <x v="2"/>
    <n v="1"/>
    <n v="250"/>
    <n v="0.5"/>
    <n v="1"/>
    <x v="2"/>
  </r>
  <r>
    <n v="1098"/>
    <d v="2023-07-06T00:00:00"/>
    <d v="1899-12-30T22:34:00"/>
    <n v="3"/>
    <x v="1"/>
    <x v="46"/>
    <x v="1"/>
    <n v="2"/>
    <n v="50"/>
    <n v="19.5"/>
    <n v="100"/>
    <x v="1"/>
    <n v="7"/>
    <x v="1"/>
    <n v="6"/>
    <x v="2"/>
    <n v="3"/>
    <n v="80.5"/>
    <n v="0.80500000000000005"/>
    <n v="0"/>
    <x v="1"/>
  </r>
  <r>
    <n v="1129"/>
    <d v="2023-09-08T00:00:00"/>
    <d v="1899-12-30T21:46:00"/>
    <n v="1"/>
    <x v="1"/>
    <x v="40"/>
    <x v="1"/>
    <n v="2"/>
    <n v="300"/>
    <n v="156"/>
    <n v="600"/>
    <x v="1"/>
    <n v="9"/>
    <x v="9"/>
    <n v="8"/>
    <x v="3"/>
    <n v="3"/>
    <n v="444"/>
    <n v="0.74"/>
    <n v="1"/>
    <x v="1"/>
  </r>
  <r>
    <n v="1230"/>
    <d v="2023-12-04T00:00:00"/>
    <d v="1899-12-30T21:24:00"/>
    <n v="1"/>
    <x v="0"/>
    <x v="29"/>
    <x v="1"/>
    <n v="1"/>
    <n v="25"/>
    <n v="13.25"/>
    <n v="25"/>
    <x v="1"/>
    <n v="12"/>
    <x v="2"/>
    <n v="4"/>
    <x v="1"/>
    <n v="4"/>
    <n v="11.75"/>
    <n v="0.47"/>
    <n v="0"/>
    <x v="0"/>
  </r>
  <r>
    <n v="1613"/>
    <d v="2023-12-14T00:00:00"/>
    <d v="1899-12-30T21:58:00"/>
    <n v="4"/>
    <x v="1"/>
    <x v="41"/>
    <x v="0"/>
    <n v="3"/>
    <n v="30"/>
    <n v="9.9"/>
    <n v="90"/>
    <x v="1"/>
    <n v="12"/>
    <x v="2"/>
    <n v="14"/>
    <x v="2"/>
    <n v="4"/>
    <n v="80.099999999999994"/>
    <n v="0.89"/>
    <n v="0"/>
    <x v="0"/>
  </r>
  <r>
    <n v="1691"/>
    <d v="2023-01-07T00:00:00"/>
    <d v="1899-12-30T20:01:00"/>
    <n v="1"/>
    <x v="1"/>
    <x v="12"/>
    <x v="0"/>
    <n v="3"/>
    <n v="30"/>
    <n v="13.5"/>
    <n v="90"/>
    <x v="1"/>
    <n v="1"/>
    <x v="3"/>
    <n v="7"/>
    <x v="0"/>
    <n v="1"/>
    <n v="76.5"/>
    <n v="0.85"/>
    <n v="0"/>
    <x v="2"/>
  </r>
  <r>
    <n v="1693"/>
    <d v="2023-02-20T00:00:00"/>
    <d v="1899-12-30T18:21:00"/>
    <n v="1"/>
    <x v="0"/>
    <x v="0"/>
    <x v="1"/>
    <n v="3"/>
    <n v="500"/>
    <n v="130"/>
    <n v="1500"/>
    <x v="1"/>
    <n v="2"/>
    <x v="10"/>
    <n v="20"/>
    <x v="1"/>
    <n v="1"/>
    <n v="1370"/>
    <n v="0.91333333299999997"/>
    <n v="1"/>
    <x v="2"/>
  </r>
  <r>
    <n v="477"/>
    <d v="2023-12-03T00:00:00"/>
    <d v="1899-12-30T17:24:00"/>
    <n v="3"/>
    <x v="0"/>
    <x v="22"/>
    <x v="0"/>
    <n v="4"/>
    <n v="30"/>
    <n v="16.2"/>
    <n v="120"/>
    <x v="1"/>
    <n v="12"/>
    <x v="2"/>
    <n v="3"/>
    <x v="5"/>
    <n v="4"/>
    <n v="103.8"/>
    <n v="0.86499999999999999"/>
    <n v="0"/>
    <x v="0"/>
  </r>
  <r>
    <n v="863"/>
    <d v="2023-11-12T00:00:00"/>
    <d v="1899-12-30T22:40:00"/>
    <n v="4"/>
    <x v="1"/>
    <x v="7"/>
    <x v="2"/>
    <n v="2"/>
    <n v="25"/>
    <n v="11.25"/>
    <n v="50"/>
    <x v="1"/>
    <n v="11"/>
    <x v="0"/>
    <n v="12"/>
    <x v="5"/>
    <n v="4"/>
    <n v="38.75"/>
    <n v="0.77500000000000002"/>
    <n v="0"/>
    <x v="0"/>
  </r>
  <r>
    <n v="1477"/>
    <d v="2023-01-08T00:00:00"/>
    <d v="1899-12-30T21:59:00"/>
    <n v="3"/>
    <x v="0"/>
    <x v="22"/>
    <x v="0"/>
    <n v="4"/>
    <n v="30"/>
    <n v="15.6"/>
    <n v="120"/>
    <x v="1"/>
    <n v="1"/>
    <x v="3"/>
    <n v="8"/>
    <x v="5"/>
    <n v="1"/>
    <n v="104.4"/>
    <n v="0.87"/>
    <n v="0"/>
    <x v="2"/>
  </r>
  <r>
    <n v="1863"/>
    <d v="2023-05-26T00:00:00"/>
    <d v="1899-12-30T22:33:00"/>
    <n v="4"/>
    <x v="1"/>
    <x v="7"/>
    <x v="2"/>
    <n v="2"/>
    <n v="25"/>
    <n v="10"/>
    <n v="50"/>
    <x v="1"/>
    <n v="5"/>
    <x v="7"/>
    <n v="26"/>
    <x v="3"/>
    <n v="2"/>
    <n v="40"/>
    <n v="0.8"/>
    <n v="0"/>
    <x v="3"/>
  </r>
  <r>
    <n v="6"/>
    <d v="2023-11-15T00:00:00"/>
    <d v="1899-12-30T22:16:00"/>
    <n v="2"/>
    <x v="1"/>
    <x v="14"/>
    <x v="1"/>
    <n v="1"/>
    <n v="30"/>
    <n v="15"/>
    <n v="30"/>
    <x v="1"/>
    <n v="11"/>
    <x v="0"/>
    <n v="15"/>
    <x v="4"/>
    <n v="4"/>
    <n v="15"/>
    <n v="0.5"/>
    <n v="0"/>
    <x v="0"/>
  </r>
  <r>
    <n v="483"/>
    <d v="2023-02-06T00:00:00"/>
    <d v="1899-12-30T17:25:00"/>
    <n v="2"/>
    <x v="0"/>
    <x v="46"/>
    <x v="0"/>
    <n v="1"/>
    <n v="30"/>
    <n v="8.4"/>
    <n v="30"/>
    <x v="1"/>
    <n v="2"/>
    <x v="10"/>
    <n v="6"/>
    <x v="1"/>
    <n v="1"/>
    <n v="21.6"/>
    <n v="0.72"/>
    <n v="0"/>
    <x v="2"/>
  </r>
  <r>
    <n v="738"/>
    <d v="2023-02-05T00:00:00"/>
    <d v="1899-12-30T18:24:00"/>
    <n v="5"/>
    <x v="0"/>
    <x v="0"/>
    <x v="0"/>
    <n v="2"/>
    <n v="50"/>
    <n v="26"/>
    <n v="100"/>
    <x v="1"/>
    <n v="2"/>
    <x v="10"/>
    <n v="5"/>
    <x v="5"/>
    <n v="1"/>
    <n v="74"/>
    <n v="0.74"/>
    <n v="0"/>
    <x v="2"/>
  </r>
  <r>
    <n v="1006"/>
    <d v="2023-10-29T00:00:00"/>
    <d v="1899-12-30T19:23:00"/>
    <n v="2"/>
    <x v="1"/>
    <x v="14"/>
    <x v="1"/>
    <n v="1"/>
    <n v="30"/>
    <n v="14.1"/>
    <n v="30"/>
    <x v="1"/>
    <n v="10"/>
    <x v="5"/>
    <n v="29"/>
    <x v="5"/>
    <n v="4"/>
    <n v="15.9"/>
    <n v="0.53"/>
    <n v="0"/>
    <x v="0"/>
  </r>
  <r>
    <n v="1483"/>
    <d v="2023-03-05T00:00:00"/>
    <d v="1899-12-30T19:53:00"/>
    <n v="1"/>
    <x v="0"/>
    <x v="46"/>
    <x v="0"/>
    <n v="1"/>
    <n v="30"/>
    <n v="8.6999999999999993"/>
    <n v="30"/>
    <x v="1"/>
    <n v="3"/>
    <x v="8"/>
    <n v="5"/>
    <x v="5"/>
    <n v="1"/>
    <n v="21.3"/>
    <n v="0.71"/>
    <n v="0"/>
    <x v="2"/>
  </r>
  <r>
    <n v="1738"/>
    <d v="2023-11-12T00:00:00"/>
    <d v="1899-12-30T21:33:00"/>
    <n v="1"/>
    <x v="0"/>
    <x v="0"/>
    <x v="0"/>
    <n v="2"/>
    <n v="50"/>
    <n v="16"/>
    <n v="100"/>
    <x v="1"/>
    <n v="11"/>
    <x v="0"/>
    <n v="12"/>
    <x v="5"/>
    <n v="4"/>
    <n v="84"/>
    <n v="0.84"/>
    <n v="0"/>
    <x v="0"/>
  </r>
  <r>
    <n v="222"/>
    <d v="2023-01-07T00:00:00"/>
    <d v="1899-12-30T18:56:00"/>
    <n v="4"/>
    <x v="0"/>
    <x v="12"/>
    <x v="0"/>
    <n v="4"/>
    <n v="30"/>
    <n v="10.5"/>
    <n v="120"/>
    <x v="1"/>
    <n v="1"/>
    <x v="3"/>
    <n v="7"/>
    <x v="0"/>
    <n v="1"/>
    <n v="109.5"/>
    <n v="0.91249999999999998"/>
    <n v="0"/>
    <x v="2"/>
  </r>
  <r>
    <n v="588"/>
    <d v="2023-10-18T00:00:00"/>
    <d v="1899-12-30T17:54:00"/>
    <n v="5"/>
    <x v="0"/>
    <x v="9"/>
    <x v="2"/>
    <n v="2"/>
    <n v="30"/>
    <n v="13.8"/>
    <n v="60"/>
    <x v="1"/>
    <n v="10"/>
    <x v="5"/>
    <n v="18"/>
    <x v="4"/>
    <n v="4"/>
    <n v="46.2"/>
    <n v="0.77"/>
    <n v="0"/>
    <x v="0"/>
  </r>
  <r>
    <n v="953"/>
    <d v="2023-07-02T00:00:00"/>
    <d v="1899-12-30T17:58:00"/>
    <n v="1"/>
    <x v="0"/>
    <x v="14"/>
    <x v="1"/>
    <n v="3"/>
    <n v="30"/>
    <n v="12.6"/>
    <n v="90"/>
    <x v="1"/>
    <n v="7"/>
    <x v="1"/>
    <n v="2"/>
    <x v="5"/>
    <n v="3"/>
    <n v="77.400000000000006"/>
    <n v="0.86"/>
    <n v="0"/>
    <x v="1"/>
  </r>
  <r>
    <n v="1222"/>
    <d v="2023-09-17T00:00:00"/>
    <d v="1899-12-30T18:15:00"/>
    <n v="3"/>
    <x v="0"/>
    <x v="12"/>
    <x v="0"/>
    <n v="4"/>
    <n v="30"/>
    <n v="11.1"/>
    <n v="120"/>
    <x v="1"/>
    <n v="9"/>
    <x v="9"/>
    <n v="17"/>
    <x v="5"/>
    <n v="3"/>
    <n v="108.9"/>
    <n v="0.90749999999999997"/>
    <n v="0"/>
    <x v="1"/>
  </r>
  <r>
    <n v="1588"/>
    <d v="2023-06-25T00:00:00"/>
    <d v="1899-12-30T21:29:00"/>
    <n v="4"/>
    <x v="0"/>
    <x v="9"/>
    <x v="2"/>
    <n v="2"/>
    <n v="30"/>
    <n v="13.2"/>
    <n v="60"/>
    <x v="1"/>
    <n v="6"/>
    <x v="11"/>
    <n v="25"/>
    <x v="5"/>
    <n v="2"/>
    <n v="46.8"/>
    <n v="0.78"/>
    <n v="0"/>
    <x v="3"/>
  </r>
  <r>
    <n v="1953"/>
    <d v="2023-05-15T00:00:00"/>
    <d v="1899-12-30T17:34:00"/>
    <n v="3"/>
    <x v="0"/>
    <x v="14"/>
    <x v="1"/>
    <n v="3"/>
    <n v="30"/>
    <n v="10.199999999999999"/>
    <n v="90"/>
    <x v="1"/>
    <n v="5"/>
    <x v="7"/>
    <n v="15"/>
    <x v="1"/>
    <n v="2"/>
    <n v="79.8"/>
    <n v="0.88666666699999996"/>
    <n v="0"/>
    <x v="3"/>
  </r>
  <r>
    <n v="66"/>
    <d v="2023-06-18T00:00:00"/>
    <d v="1899-12-30T22:49:00"/>
    <n v="3"/>
    <x v="1"/>
    <x v="14"/>
    <x v="2"/>
    <n v="1"/>
    <n v="30"/>
    <n v="9"/>
    <n v="30"/>
    <x v="1"/>
    <n v="6"/>
    <x v="11"/>
    <n v="18"/>
    <x v="5"/>
    <n v="2"/>
    <n v="21"/>
    <n v="0.7"/>
    <n v="0"/>
    <x v="3"/>
  </r>
  <r>
    <n v="482"/>
    <d v="2023-08-12T00:00:00"/>
    <d v="1899-12-30T18:57:00"/>
    <n v="3"/>
    <x v="1"/>
    <x v="32"/>
    <x v="0"/>
    <n v="4"/>
    <n v="300"/>
    <n v="141"/>
    <n v="1200"/>
    <x v="1"/>
    <n v="8"/>
    <x v="4"/>
    <n v="12"/>
    <x v="0"/>
    <n v="3"/>
    <n v="1059"/>
    <n v="0.88249999999999995"/>
    <n v="1"/>
    <x v="1"/>
  </r>
  <r>
    <n v="903"/>
    <d v="2023-07-27T00:00:00"/>
    <d v="1899-12-30T22:14:00"/>
    <n v="3"/>
    <x v="1"/>
    <x v="12"/>
    <x v="1"/>
    <n v="4"/>
    <n v="50"/>
    <n v="14"/>
    <n v="200"/>
    <x v="1"/>
    <n v="7"/>
    <x v="1"/>
    <n v="27"/>
    <x v="2"/>
    <n v="3"/>
    <n v="186"/>
    <n v="0.93"/>
    <n v="1"/>
    <x v="1"/>
  </r>
  <r>
    <n v="1066"/>
    <d v="2023-10-06T00:00:00"/>
    <d v="1899-12-30T18:11:00"/>
    <n v="4"/>
    <x v="1"/>
    <x v="14"/>
    <x v="2"/>
    <n v="1"/>
    <n v="30"/>
    <n v="8.4"/>
    <n v="30"/>
    <x v="1"/>
    <n v="10"/>
    <x v="5"/>
    <n v="6"/>
    <x v="3"/>
    <n v="4"/>
    <n v="21.6"/>
    <n v="0.72"/>
    <n v="0"/>
    <x v="0"/>
  </r>
  <r>
    <n v="1482"/>
    <d v="2023-02-10T00:00:00"/>
    <d v="1899-12-30T22:22:00"/>
    <n v="1"/>
    <x v="1"/>
    <x v="32"/>
    <x v="0"/>
    <n v="4"/>
    <n v="300"/>
    <n v="114"/>
    <n v="1200"/>
    <x v="1"/>
    <n v="2"/>
    <x v="10"/>
    <n v="10"/>
    <x v="3"/>
    <n v="1"/>
    <n v="1086"/>
    <n v="0.90500000000000003"/>
    <n v="1"/>
    <x v="2"/>
  </r>
  <r>
    <n v="1903"/>
    <d v="2023-07-27T00:00:00"/>
    <d v="1899-12-30T21:44:00"/>
    <n v="5"/>
    <x v="1"/>
    <x v="12"/>
    <x v="1"/>
    <n v="4"/>
    <n v="50"/>
    <n v="19"/>
    <n v="200"/>
    <x v="1"/>
    <n v="7"/>
    <x v="1"/>
    <n v="27"/>
    <x v="2"/>
    <n v="3"/>
    <n v="181"/>
    <n v="0.90500000000000003"/>
    <n v="1"/>
    <x v="1"/>
  </r>
  <r>
    <n v="102"/>
    <d v="2023-04-17T00:00:00"/>
    <d v="1899-12-30T21:34:00"/>
    <n v="5"/>
    <x v="1"/>
    <x v="35"/>
    <x v="1"/>
    <n v="2"/>
    <n v="25"/>
    <n v="7.25"/>
    <n v="50"/>
    <x v="1"/>
    <n v="4"/>
    <x v="6"/>
    <n v="17"/>
    <x v="1"/>
    <n v="2"/>
    <n v="42.75"/>
    <n v="0.85499999999999998"/>
    <n v="0"/>
    <x v="3"/>
  </r>
  <r>
    <n v="228"/>
    <d v="2023-04-03T00:00:00"/>
    <d v="1899-12-30T20:26:00"/>
    <n v="4"/>
    <x v="1"/>
    <x v="26"/>
    <x v="2"/>
    <n v="2"/>
    <n v="30"/>
    <n v="10.8"/>
    <n v="60"/>
    <x v="1"/>
    <n v="4"/>
    <x v="6"/>
    <n v="3"/>
    <x v="1"/>
    <n v="2"/>
    <n v="49.2"/>
    <n v="0.82"/>
    <n v="0"/>
    <x v="3"/>
  </r>
  <r>
    <n v="236"/>
    <d v="2023-04-01T00:00:00"/>
    <d v="1899-12-30T22:18:00"/>
    <n v="5"/>
    <x v="1"/>
    <x v="29"/>
    <x v="0"/>
    <n v="1"/>
    <n v="25"/>
    <n v="6.5"/>
    <n v="25"/>
    <x v="1"/>
    <n v="4"/>
    <x v="6"/>
    <n v="1"/>
    <x v="0"/>
    <n v="2"/>
    <n v="18.5"/>
    <n v="0.74"/>
    <n v="0"/>
    <x v="3"/>
  </r>
  <r>
    <n v="1102"/>
    <d v="2023-08-21T00:00:00"/>
    <d v="1899-12-30T18:04:00"/>
    <n v="5"/>
    <x v="1"/>
    <x v="35"/>
    <x v="1"/>
    <n v="2"/>
    <n v="25"/>
    <n v="6.5"/>
    <n v="50"/>
    <x v="1"/>
    <n v="8"/>
    <x v="4"/>
    <n v="21"/>
    <x v="1"/>
    <n v="3"/>
    <n v="43.5"/>
    <n v="0.87"/>
    <n v="0"/>
    <x v="1"/>
  </r>
  <r>
    <n v="1228"/>
    <d v="2023-06-24T00:00:00"/>
    <d v="1899-12-30T21:37:00"/>
    <n v="5"/>
    <x v="1"/>
    <x v="26"/>
    <x v="2"/>
    <n v="2"/>
    <n v="30"/>
    <n v="11.4"/>
    <n v="60"/>
    <x v="1"/>
    <n v="6"/>
    <x v="11"/>
    <n v="24"/>
    <x v="0"/>
    <n v="2"/>
    <n v="48.6"/>
    <n v="0.81"/>
    <n v="0"/>
    <x v="3"/>
  </r>
  <r>
    <n v="1236"/>
    <d v="2023-08-09T00:00:00"/>
    <d v="1899-12-30T18:19:00"/>
    <n v="4"/>
    <x v="1"/>
    <x v="29"/>
    <x v="0"/>
    <n v="1"/>
    <n v="25"/>
    <n v="8.75"/>
    <n v="25"/>
    <x v="1"/>
    <n v="8"/>
    <x v="4"/>
    <n v="9"/>
    <x v="4"/>
    <n v="3"/>
    <n v="16.25"/>
    <n v="0.65"/>
    <n v="0"/>
    <x v="1"/>
  </r>
  <r>
    <n v="660"/>
    <d v="2023-07-29T00:00:00"/>
    <d v="1899-12-30T18:46:00"/>
    <n v="2"/>
    <x v="1"/>
    <x v="9"/>
    <x v="1"/>
    <n v="2"/>
    <n v="500"/>
    <n v="270"/>
    <n v="1000"/>
    <x v="1"/>
    <n v="7"/>
    <x v="1"/>
    <n v="29"/>
    <x v="0"/>
    <n v="3"/>
    <n v="730"/>
    <n v="0.73"/>
    <n v="1"/>
    <x v="1"/>
  </r>
  <r>
    <n v="884"/>
    <d v="2023-02-18T00:00:00"/>
    <d v="1899-12-30T20:31:00"/>
    <n v="1"/>
    <x v="1"/>
    <x v="6"/>
    <x v="0"/>
    <n v="2"/>
    <n v="30"/>
    <n v="7.5"/>
    <n v="60"/>
    <x v="1"/>
    <n v="2"/>
    <x v="10"/>
    <n v="18"/>
    <x v="0"/>
    <n v="1"/>
    <n v="52.5"/>
    <n v="0.875"/>
    <n v="0"/>
    <x v="2"/>
  </r>
  <r>
    <n v="987"/>
    <d v="2023-11-08T00:00:00"/>
    <d v="1899-12-30T18:45:00"/>
    <n v="1"/>
    <x v="1"/>
    <x v="7"/>
    <x v="0"/>
    <n v="3"/>
    <n v="300"/>
    <n v="165"/>
    <n v="900"/>
    <x v="1"/>
    <n v="11"/>
    <x v="0"/>
    <n v="8"/>
    <x v="4"/>
    <n v="4"/>
    <n v="735"/>
    <n v="0.81666666700000001"/>
    <n v="1"/>
    <x v="0"/>
  </r>
  <r>
    <n v="1660"/>
    <d v="2023-09-23T00:00:00"/>
    <d v="1899-12-30T20:27:00"/>
    <n v="2"/>
    <x v="1"/>
    <x v="9"/>
    <x v="1"/>
    <n v="2"/>
    <n v="500"/>
    <n v="160"/>
    <n v="1000"/>
    <x v="1"/>
    <n v="9"/>
    <x v="9"/>
    <n v="23"/>
    <x v="0"/>
    <n v="3"/>
    <n v="840"/>
    <n v="0.84"/>
    <n v="1"/>
    <x v="1"/>
  </r>
  <r>
    <n v="1884"/>
    <d v="2023-07-09T00:00:00"/>
    <d v="1899-12-30T21:45:00"/>
    <n v="2"/>
    <x v="1"/>
    <x v="6"/>
    <x v="0"/>
    <n v="2"/>
    <n v="30"/>
    <n v="11.4"/>
    <n v="60"/>
    <x v="1"/>
    <n v="7"/>
    <x v="1"/>
    <n v="9"/>
    <x v="5"/>
    <n v="3"/>
    <n v="48.6"/>
    <n v="0.81"/>
    <n v="0"/>
    <x v="1"/>
  </r>
  <r>
    <n v="1987"/>
    <d v="2023-05-26T00:00:00"/>
    <d v="1899-12-30T18:18:00"/>
    <n v="2"/>
    <x v="1"/>
    <x v="7"/>
    <x v="0"/>
    <n v="3"/>
    <n v="300"/>
    <n v="129"/>
    <n v="900"/>
    <x v="1"/>
    <n v="5"/>
    <x v="7"/>
    <n v="26"/>
    <x v="3"/>
    <n v="2"/>
    <n v="771"/>
    <n v="0.85666666700000005"/>
    <n v="1"/>
    <x v="3"/>
  </r>
  <r>
    <n v="18"/>
    <d v="2023-09-06T00:00:00"/>
    <d v="1899-12-30T19:13:00"/>
    <n v="5"/>
    <x v="1"/>
    <x v="35"/>
    <x v="2"/>
    <n v="2"/>
    <n v="25"/>
    <n v="12.5"/>
    <n v="50"/>
    <x v="1"/>
    <n v="9"/>
    <x v="9"/>
    <n v="6"/>
    <x v="4"/>
    <n v="3"/>
    <n v="37.5"/>
    <n v="0.75"/>
    <n v="0"/>
    <x v="1"/>
  </r>
  <r>
    <n v="69"/>
    <d v="2023-11-14T00:00:00"/>
    <d v="1899-12-30T22:44:00"/>
    <n v="1"/>
    <x v="1"/>
    <x v="34"/>
    <x v="1"/>
    <n v="3"/>
    <n v="25"/>
    <n v="8.5"/>
    <n v="75"/>
    <x v="1"/>
    <n v="11"/>
    <x v="0"/>
    <n v="14"/>
    <x v="6"/>
    <n v="4"/>
    <n v="66.5"/>
    <n v="0.88666666699999996"/>
    <n v="0"/>
    <x v="0"/>
  </r>
  <r>
    <n v="995"/>
    <d v="2023-03-04T00:00:00"/>
    <d v="1899-12-30T22:38:00"/>
    <n v="4"/>
    <x v="1"/>
    <x v="0"/>
    <x v="0"/>
    <n v="1"/>
    <n v="30"/>
    <n v="9.9"/>
    <n v="30"/>
    <x v="1"/>
    <n v="3"/>
    <x v="8"/>
    <n v="4"/>
    <x v="0"/>
    <n v="1"/>
    <n v="20.100000000000001"/>
    <n v="0.67"/>
    <n v="0"/>
    <x v="2"/>
  </r>
  <r>
    <n v="1018"/>
    <d v="2023-07-06T00:00:00"/>
    <d v="1899-12-30T19:13:00"/>
    <n v="4"/>
    <x v="1"/>
    <x v="35"/>
    <x v="2"/>
    <n v="2"/>
    <n v="25"/>
    <n v="13"/>
    <n v="50"/>
    <x v="1"/>
    <n v="7"/>
    <x v="1"/>
    <n v="6"/>
    <x v="2"/>
    <n v="3"/>
    <n v="37"/>
    <n v="0.74"/>
    <n v="0"/>
    <x v="1"/>
  </r>
  <r>
    <n v="1069"/>
    <d v="2023-10-13T00:00:00"/>
    <d v="1899-12-30T19:05:00"/>
    <n v="2"/>
    <x v="1"/>
    <x v="34"/>
    <x v="1"/>
    <n v="3"/>
    <n v="25"/>
    <n v="6.75"/>
    <n v="75"/>
    <x v="1"/>
    <n v="10"/>
    <x v="5"/>
    <n v="13"/>
    <x v="3"/>
    <n v="4"/>
    <n v="68.25"/>
    <n v="0.91"/>
    <n v="0"/>
    <x v="0"/>
  </r>
  <r>
    <n v="1995"/>
    <d v="2023-12-10T00:00:00"/>
    <d v="1899-12-30T22:18:00"/>
    <n v="5"/>
    <x v="1"/>
    <x v="0"/>
    <x v="0"/>
    <n v="1"/>
    <n v="30"/>
    <n v="14.7"/>
    <n v="30"/>
    <x v="1"/>
    <n v="12"/>
    <x v="2"/>
    <n v="10"/>
    <x v="5"/>
    <n v="4"/>
    <n v="15.3"/>
    <n v="0.51"/>
    <n v="0"/>
    <x v="0"/>
  </r>
  <r>
    <n v="337"/>
    <d v="2023-08-22T00:00:00"/>
    <d v="1899-12-30T17:56:00"/>
    <n v="1"/>
    <x v="0"/>
    <x v="9"/>
    <x v="0"/>
    <n v="1"/>
    <n v="500"/>
    <n v="275"/>
    <n v="500"/>
    <x v="1"/>
    <n v="8"/>
    <x v="4"/>
    <n v="22"/>
    <x v="6"/>
    <n v="3"/>
    <n v="225"/>
    <n v="0.45"/>
    <n v="1"/>
    <x v="1"/>
  </r>
  <r>
    <n v="585"/>
    <d v="2023-06-06T00:00:00"/>
    <d v="1899-12-30T21:49:00"/>
    <n v="3"/>
    <x v="1"/>
    <x v="24"/>
    <x v="0"/>
    <n v="1"/>
    <n v="25"/>
    <n v="13.75"/>
    <n v="25"/>
    <x v="1"/>
    <n v="6"/>
    <x v="11"/>
    <n v="6"/>
    <x v="6"/>
    <n v="2"/>
    <n v="11.25"/>
    <n v="0.45"/>
    <n v="0"/>
    <x v="3"/>
  </r>
  <r>
    <n v="652"/>
    <d v="2023-10-31T00:00:00"/>
    <d v="1899-12-30T17:05:00"/>
    <n v="4"/>
    <x v="1"/>
    <x v="23"/>
    <x v="1"/>
    <n v="2"/>
    <n v="50"/>
    <n v="20.5"/>
    <n v="100"/>
    <x v="1"/>
    <n v="10"/>
    <x v="5"/>
    <n v="31"/>
    <x v="6"/>
    <n v="4"/>
    <n v="79.5"/>
    <n v="0.79500000000000004"/>
    <n v="0"/>
    <x v="0"/>
  </r>
  <r>
    <n v="1337"/>
    <d v="2023-07-21T00:00:00"/>
    <d v="1899-12-30T19:56:00"/>
    <n v="2"/>
    <x v="0"/>
    <x v="9"/>
    <x v="0"/>
    <n v="1"/>
    <n v="500"/>
    <n v="225"/>
    <n v="500"/>
    <x v="1"/>
    <n v="7"/>
    <x v="1"/>
    <n v="21"/>
    <x v="3"/>
    <n v="3"/>
    <n v="275"/>
    <n v="0.55000000000000004"/>
    <n v="1"/>
    <x v="1"/>
  </r>
  <r>
    <n v="1585"/>
    <d v="2023-10-05T00:00:00"/>
    <d v="1899-12-30T20:00:00"/>
    <n v="2"/>
    <x v="1"/>
    <x v="24"/>
    <x v="0"/>
    <n v="1"/>
    <n v="25"/>
    <n v="7.25"/>
    <n v="25"/>
    <x v="1"/>
    <n v="10"/>
    <x v="5"/>
    <n v="5"/>
    <x v="2"/>
    <n v="4"/>
    <n v="17.75"/>
    <n v="0.71"/>
    <n v="0"/>
    <x v="0"/>
  </r>
  <r>
    <n v="1652"/>
    <d v="2023-11-16T00:00:00"/>
    <d v="1899-12-30T20:00:00"/>
    <n v="2"/>
    <x v="1"/>
    <x v="23"/>
    <x v="1"/>
    <n v="2"/>
    <n v="50"/>
    <n v="20.5"/>
    <n v="100"/>
    <x v="1"/>
    <n v="11"/>
    <x v="0"/>
    <n v="16"/>
    <x v="2"/>
    <n v="4"/>
    <n v="79.5"/>
    <n v="0.79500000000000004"/>
    <n v="0"/>
    <x v="0"/>
  </r>
  <r>
    <n v="242"/>
    <d v="2023-10-01T00:00:00"/>
    <d v="1899-12-30T18:28:00"/>
    <n v="1"/>
    <x v="0"/>
    <x v="40"/>
    <x v="0"/>
    <n v="1"/>
    <n v="25"/>
    <n v="8"/>
    <n v="25"/>
    <x v="1"/>
    <n v="10"/>
    <x v="5"/>
    <n v="1"/>
    <x v="5"/>
    <n v="4"/>
    <n v="17"/>
    <n v="0.68"/>
    <n v="0"/>
    <x v="0"/>
  </r>
  <r>
    <n v="293"/>
    <d v="2023-05-27T00:00:00"/>
    <d v="1899-12-30T19:04:00"/>
    <n v="4"/>
    <x v="0"/>
    <x v="20"/>
    <x v="2"/>
    <n v="3"/>
    <n v="30"/>
    <n v="9.6"/>
    <n v="90"/>
    <x v="1"/>
    <n v="5"/>
    <x v="7"/>
    <n v="27"/>
    <x v="0"/>
    <n v="2"/>
    <n v="80.400000000000006"/>
    <n v="0.89333333299999995"/>
    <n v="0"/>
    <x v="3"/>
  </r>
  <r>
    <n v="460"/>
    <d v="2023-05-01T00:00:00"/>
    <d v="1899-12-30T23:00:00"/>
    <n v="2"/>
    <x v="0"/>
    <x v="2"/>
    <x v="1"/>
    <n v="1"/>
    <n v="50"/>
    <n v="19"/>
    <n v="50"/>
    <x v="1"/>
    <n v="5"/>
    <x v="7"/>
    <n v="1"/>
    <x v="1"/>
    <n v="2"/>
    <n v="31"/>
    <n v="0.62"/>
    <n v="0"/>
    <x v="3"/>
  </r>
  <r>
    <n v="1242"/>
    <d v="2023-11-27T00:00:00"/>
    <d v="1899-12-30T18:32:00"/>
    <n v="5"/>
    <x v="0"/>
    <x v="40"/>
    <x v="0"/>
    <n v="1"/>
    <n v="25"/>
    <n v="11.25"/>
    <n v="25"/>
    <x v="1"/>
    <n v="11"/>
    <x v="0"/>
    <n v="27"/>
    <x v="1"/>
    <n v="4"/>
    <n v="13.75"/>
    <n v="0.55000000000000004"/>
    <n v="0"/>
    <x v="0"/>
  </r>
  <r>
    <n v="1293"/>
    <d v="2023-07-01T00:00:00"/>
    <d v="1899-12-30T18:52:00"/>
    <n v="3"/>
    <x v="0"/>
    <x v="20"/>
    <x v="2"/>
    <n v="3"/>
    <n v="30"/>
    <n v="14.1"/>
    <n v="90"/>
    <x v="1"/>
    <n v="7"/>
    <x v="1"/>
    <n v="1"/>
    <x v="0"/>
    <n v="3"/>
    <n v="75.900000000000006"/>
    <n v="0.84333333300000002"/>
    <n v="0"/>
    <x v="1"/>
  </r>
  <r>
    <n v="1460"/>
    <d v="2023-01-25T00:00:00"/>
    <d v="1899-12-30T19:42:00"/>
    <n v="4"/>
    <x v="0"/>
    <x v="2"/>
    <x v="1"/>
    <n v="1"/>
    <n v="50"/>
    <n v="22"/>
    <n v="50"/>
    <x v="1"/>
    <n v="1"/>
    <x v="3"/>
    <n v="25"/>
    <x v="4"/>
    <n v="1"/>
    <n v="28"/>
    <n v="0.56000000000000005"/>
    <n v="0"/>
    <x v="2"/>
  </r>
  <r>
    <n v="188"/>
    <d v="2023-08-31T00:00:00"/>
    <d v="1899-12-30T18:50:00"/>
    <n v="3"/>
    <x v="0"/>
    <x v="2"/>
    <x v="0"/>
    <n v="3"/>
    <n v="25"/>
    <n v="8.5"/>
    <n v="75"/>
    <x v="1"/>
    <n v="8"/>
    <x v="4"/>
    <n v="31"/>
    <x v="2"/>
    <n v="3"/>
    <n v="66.5"/>
    <n v="0.88666666699999996"/>
    <n v="0"/>
    <x v="1"/>
  </r>
  <r>
    <n v="357"/>
    <d v="2023-05-18T00:00:00"/>
    <d v="1899-12-30T18:57:00"/>
    <n v="4"/>
    <x v="1"/>
    <x v="2"/>
    <x v="2"/>
    <n v="3"/>
    <n v="25"/>
    <n v="7.5"/>
    <n v="75"/>
    <x v="1"/>
    <n v="5"/>
    <x v="7"/>
    <n v="18"/>
    <x v="2"/>
    <n v="2"/>
    <n v="67.5"/>
    <n v="0.9"/>
    <n v="0"/>
    <x v="3"/>
  </r>
  <r>
    <n v="646"/>
    <d v="2023-05-26T00:00:00"/>
    <d v="1899-12-30T21:02:00"/>
    <n v="3"/>
    <x v="0"/>
    <x v="9"/>
    <x v="0"/>
    <n v="3"/>
    <n v="30"/>
    <n v="13.5"/>
    <n v="90"/>
    <x v="1"/>
    <n v="5"/>
    <x v="7"/>
    <n v="26"/>
    <x v="3"/>
    <n v="2"/>
    <n v="76.5"/>
    <n v="0.85"/>
    <n v="0"/>
    <x v="3"/>
  </r>
  <r>
    <n v="749"/>
    <d v="2023-07-26T00:00:00"/>
    <d v="1899-12-30T20:33:00"/>
    <n v="2"/>
    <x v="0"/>
    <x v="25"/>
    <x v="1"/>
    <n v="1"/>
    <n v="30"/>
    <n v="8.4"/>
    <n v="30"/>
    <x v="1"/>
    <n v="7"/>
    <x v="1"/>
    <n v="26"/>
    <x v="4"/>
    <n v="3"/>
    <n v="21.6"/>
    <n v="0.72"/>
    <n v="0"/>
    <x v="1"/>
  </r>
  <r>
    <n v="974"/>
    <d v="2023-12-28T00:00:00"/>
    <d v="1899-12-30T18:39:00"/>
    <n v="3"/>
    <x v="0"/>
    <x v="35"/>
    <x v="1"/>
    <n v="1"/>
    <n v="30"/>
    <n v="11.7"/>
    <n v="30"/>
    <x v="1"/>
    <n v="12"/>
    <x v="2"/>
    <n v="28"/>
    <x v="2"/>
    <n v="4"/>
    <n v="18.3"/>
    <n v="0.61"/>
    <n v="0"/>
    <x v="0"/>
  </r>
  <r>
    <n v="1188"/>
    <d v="2023-06-04T00:00:00"/>
    <d v="1899-12-30T22:43:00"/>
    <n v="2"/>
    <x v="0"/>
    <x v="2"/>
    <x v="0"/>
    <n v="3"/>
    <n v="25"/>
    <n v="10.75"/>
    <n v="75"/>
    <x v="1"/>
    <n v="6"/>
    <x v="11"/>
    <n v="4"/>
    <x v="5"/>
    <n v="2"/>
    <n v="64.25"/>
    <n v="0.85666666700000005"/>
    <n v="0"/>
    <x v="3"/>
  </r>
  <r>
    <n v="1357"/>
    <d v="2023-03-20T00:00:00"/>
    <d v="1899-12-30T19:14:00"/>
    <n v="3"/>
    <x v="1"/>
    <x v="2"/>
    <x v="2"/>
    <n v="3"/>
    <n v="25"/>
    <n v="11.5"/>
    <n v="75"/>
    <x v="1"/>
    <n v="3"/>
    <x v="8"/>
    <n v="20"/>
    <x v="1"/>
    <n v="1"/>
    <n v="63.5"/>
    <n v="0.84666666700000004"/>
    <n v="0"/>
    <x v="2"/>
  </r>
  <r>
    <n v="1646"/>
    <d v="2023-01-18T00:00:00"/>
    <d v="1899-12-30T19:43:00"/>
    <n v="1"/>
    <x v="0"/>
    <x v="9"/>
    <x v="0"/>
    <n v="3"/>
    <n v="30"/>
    <n v="15.6"/>
    <n v="90"/>
    <x v="1"/>
    <n v="1"/>
    <x v="3"/>
    <n v="18"/>
    <x v="4"/>
    <n v="1"/>
    <n v="74.400000000000006"/>
    <n v="0.82666666700000002"/>
    <n v="0"/>
    <x v="2"/>
  </r>
  <r>
    <n v="1749"/>
    <d v="2023-05-07T00:00:00"/>
    <d v="1899-12-30T19:55:00"/>
    <n v="2"/>
    <x v="0"/>
    <x v="25"/>
    <x v="1"/>
    <n v="1"/>
    <n v="30"/>
    <n v="9"/>
    <n v="30"/>
    <x v="1"/>
    <n v="5"/>
    <x v="7"/>
    <n v="7"/>
    <x v="5"/>
    <n v="2"/>
    <n v="21"/>
    <n v="0.7"/>
    <n v="0"/>
    <x v="3"/>
  </r>
  <r>
    <n v="1974"/>
    <d v="2023-02-19T00:00:00"/>
    <d v="1899-12-30T20:20:00"/>
    <n v="3"/>
    <x v="0"/>
    <x v="35"/>
    <x v="1"/>
    <n v="1"/>
    <n v="30"/>
    <n v="12.9"/>
    <n v="30"/>
    <x v="1"/>
    <n v="2"/>
    <x v="10"/>
    <n v="19"/>
    <x v="5"/>
    <n v="1"/>
    <n v="17.100000000000001"/>
    <n v="0.56999999999999995"/>
    <n v="0"/>
    <x v="2"/>
  </r>
  <r>
    <n v="190"/>
    <d v="2023-01-25T00:00:00"/>
    <d v="1899-12-30T17:56:00"/>
    <n v="2"/>
    <x v="1"/>
    <x v="13"/>
    <x v="1"/>
    <n v="3"/>
    <n v="30"/>
    <n v="10.5"/>
    <n v="90"/>
    <x v="1"/>
    <n v="1"/>
    <x v="3"/>
    <n v="25"/>
    <x v="4"/>
    <n v="1"/>
    <n v="79.5"/>
    <n v="0.88333333300000005"/>
    <n v="0"/>
    <x v="2"/>
  </r>
  <r>
    <n v="849"/>
    <d v="2023-06-25T00:00:00"/>
    <d v="1899-12-30T19:33:00"/>
    <n v="5"/>
    <x v="0"/>
    <x v="37"/>
    <x v="0"/>
    <n v="2"/>
    <n v="25"/>
    <n v="12.5"/>
    <n v="50"/>
    <x v="1"/>
    <n v="6"/>
    <x v="11"/>
    <n v="25"/>
    <x v="5"/>
    <n v="2"/>
    <n v="37.5"/>
    <n v="0.75"/>
    <n v="0"/>
    <x v="3"/>
  </r>
  <r>
    <n v="853"/>
    <d v="2023-05-14T00:00:00"/>
    <d v="1899-12-30T22:29:00"/>
    <n v="3"/>
    <x v="0"/>
    <x v="40"/>
    <x v="1"/>
    <n v="2"/>
    <n v="500"/>
    <n v="155"/>
    <n v="1000"/>
    <x v="1"/>
    <n v="5"/>
    <x v="7"/>
    <n v="14"/>
    <x v="5"/>
    <n v="2"/>
    <n v="845"/>
    <n v="0.84499999999999997"/>
    <n v="1"/>
    <x v="3"/>
  </r>
  <r>
    <n v="1190"/>
    <d v="2023-09-29T00:00:00"/>
    <d v="1899-12-30T21:00:00"/>
    <n v="4"/>
    <x v="1"/>
    <x v="13"/>
    <x v="1"/>
    <n v="3"/>
    <n v="30"/>
    <n v="10.8"/>
    <n v="90"/>
    <x v="1"/>
    <n v="9"/>
    <x v="9"/>
    <n v="29"/>
    <x v="3"/>
    <n v="3"/>
    <n v="79.2"/>
    <n v="0.88"/>
    <n v="0"/>
    <x v="1"/>
  </r>
  <r>
    <n v="1849"/>
    <d v="2023-07-21T00:00:00"/>
    <d v="1899-12-30T22:42:00"/>
    <n v="1"/>
    <x v="0"/>
    <x v="37"/>
    <x v="0"/>
    <n v="2"/>
    <n v="25"/>
    <n v="12"/>
    <n v="50"/>
    <x v="1"/>
    <n v="7"/>
    <x v="1"/>
    <n v="21"/>
    <x v="3"/>
    <n v="3"/>
    <n v="38"/>
    <n v="0.76"/>
    <n v="0"/>
    <x v="1"/>
  </r>
  <r>
    <n v="1853"/>
    <d v="2023-05-29T00:00:00"/>
    <d v="1899-12-30T18:39:00"/>
    <n v="2"/>
    <x v="0"/>
    <x v="40"/>
    <x v="1"/>
    <n v="2"/>
    <n v="500"/>
    <n v="190"/>
    <n v="1000"/>
    <x v="1"/>
    <n v="5"/>
    <x v="7"/>
    <n v="29"/>
    <x v="1"/>
    <n v="2"/>
    <n v="810"/>
    <n v="0.81"/>
    <n v="1"/>
    <x v="3"/>
  </r>
  <r>
    <n v="252"/>
    <d v="2023-05-05T00:00:00"/>
    <d v="1899-12-30T17:37:00"/>
    <n v="1"/>
    <x v="0"/>
    <x v="29"/>
    <x v="2"/>
    <n v="1"/>
    <n v="300"/>
    <n v="84"/>
    <n v="300"/>
    <x v="1"/>
    <n v="5"/>
    <x v="7"/>
    <n v="5"/>
    <x v="3"/>
    <n v="2"/>
    <n v="216"/>
    <n v="0.72"/>
    <n v="1"/>
    <x v="3"/>
  </r>
  <r>
    <n v="606"/>
    <d v="2023-06-13T00:00:00"/>
    <d v="1899-12-30T20:19:00"/>
    <n v="2"/>
    <x v="0"/>
    <x v="30"/>
    <x v="2"/>
    <n v="1"/>
    <n v="50"/>
    <n v="19.5"/>
    <n v="50"/>
    <x v="1"/>
    <n v="6"/>
    <x v="11"/>
    <n v="13"/>
    <x v="6"/>
    <n v="2"/>
    <n v="30.5"/>
    <n v="0.61"/>
    <n v="0"/>
    <x v="3"/>
  </r>
  <r>
    <n v="779"/>
    <d v="2023-05-15T00:00:00"/>
    <d v="1899-12-30T19:19:00"/>
    <n v="3"/>
    <x v="1"/>
    <x v="34"/>
    <x v="2"/>
    <n v="2"/>
    <n v="500"/>
    <n v="155"/>
    <n v="1000"/>
    <x v="1"/>
    <n v="5"/>
    <x v="7"/>
    <n v="15"/>
    <x v="1"/>
    <n v="2"/>
    <n v="845"/>
    <n v="0.84499999999999997"/>
    <n v="1"/>
    <x v="3"/>
  </r>
  <r>
    <n v="824"/>
    <d v="2023-02-25T00:00:00"/>
    <d v="1899-12-30T19:10:00"/>
    <n v="3"/>
    <x v="0"/>
    <x v="15"/>
    <x v="0"/>
    <n v="4"/>
    <n v="30"/>
    <n v="9.3000000000000007"/>
    <n v="120"/>
    <x v="1"/>
    <n v="2"/>
    <x v="10"/>
    <n v="25"/>
    <x v="0"/>
    <n v="1"/>
    <n v="110.7"/>
    <n v="0.92249999999999999"/>
    <n v="0"/>
    <x v="2"/>
  </r>
  <r>
    <n v="866"/>
    <d v="2023-07-06T00:00:00"/>
    <d v="1899-12-30T18:16:00"/>
    <n v="4"/>
    <x v="0"/>
    <x v="24"/>
    <x v="2"/>
    <n v="1"/>
    <n v="50"/>
    <n v="22.5"/>
    <n v="50"/>
    <x v="1"/>
    <n v="7"/>
    <x v="1"/>
    <n v="6"/>
    <x v="2"/>
    <n v="3"/>
    <n v="27.5"/>
    <n v="0.55000000000000004"/>
    <n v="0"/>
    <x v="1"/>
  </r>
  <r>
    <n v="1252"/>
    <d v="2023-12-30T00:00:00"/>
    <d v="1899-12-30T20:18:00"/>
    <n v="5"/>
    <x v="0"/>
    <x v="29"/>
    <x v="2"/>
    <n v="1"/>
    <n v="300"/>
    <n v="117"/>
    <n v="300"/>
    <x v="1"/>
    <n v="12"/>
    <x v="2"/>
    <n v="30"/>
    <x v="0"/>
    <n v="4"/>
    <n v="183"/>
    <n v="0.61"/>
    <n v="1"/>
    <x v="0"/>
  </r>
  <r>
    <n v="1606"/>
    <d v="2023-10-19T00:00:00"/>
    <d v="1899-12-30T19:52:00"/>
    <n v="2"/>
    <x v="0"/>
    <x v="30"/>
    <x v="2"/>
    <n v="1"/>
    <n v="50"/>
    <n v="26.5"/>
    <n v="50"/>
    <x v="1"/>
    <n v="10"/>
    <x v="5"/>
    <n v="19"/>
    <x v="2"/>
    <n v="4"/>
    <n v="23.5"/>
    <n v="0.47"/>
    <n v="0"/>
    <x v="0"/>
  </r>
  <r>
    <n v="1779"/>
    <d v="2023-01-02T00:00:00"/>
    <d v="1899-12-30T19:45:00"/>
    <n v="3"/>
    <x v="1"/>
    <x v="34"/>
    <x v="2"/>
    <n v="2"/>
    <n v="500"/>
    <n v="190"/>
    <n v="1000"/>
    <x v="1"/>
    <n v="1"/>
    <x v="3"/>
    <n v="2"/>
    <x v="1"/>
    <n v="1"/>
    <n v="810"/>
    <n v="0.81"/>
    <n v="1"/>
    <x v="2"/>
  </r>
  <r>
    <n v="1824"/>
    <d v="2023-01-24T00:00:00"/>
    <d v="1899-12-30T20:19:00"/>
    <n v="4"/>
    <x v="0"/>
    <x v="15"/>
    <x v="0"/>
    <n v="4"/>
    <n v="30"/>
    <n v="12.6"/>
    <n v="120"/>
    <x v="1"/>
    <n v="1"/>
    <x v="3"/>
    <n v="24"/>
    <x v="6"/>
    <n v="1"/>
    <n v="107.4"/>
    <n v="0.89500000000000002"/>
    <n v="0"/>
    <x v="2"/>
  </r>
  <r>
    <n v="1866"/>
    <d v="2023-08-17T00:00:00"/>
    <d v="1899-12-30T22:38:00"/>
    <n v="5"/>
    <x v="0"/>
    <x v="24"/>
    <x v="2"/>
    <n v="1"/>
    <n v="50"/>
    <n v="20"/>
    <n v="50"/>
    <x v="1"/>
    <n v="8"/>
    <x v="4"/>
    <n v="17"/>
    <x v="2"/>
    <n v="3"/>
    <n v="30"/>
    <n v="0.6"/>
    <n v="0"/>
    <x v="1"/>
  </r>
  <r>
    <n v="5"/>
    <d v="2023-09-05T00:00:00"/>
    <d v="1899-12-30T22:10:00"/>
    <n v="3"/>
    <x v="0"/>
    <x v="7"/>
    <x v="1"/>
    <n v="2"/>
    <n v="50"/>
    <n v="24"/>
    <n v="100"/>
    <x v="1"/>
    <n v="9"/>
    <x v="9"/>
    <n v="5"/>
    <x v="6"/>
    <n v="3"/>
    <n v="76"/>
    <n v="0.76"/>
    <n v="0"/>
    <x v="1"/>
  </r>
  <r>
    <n v="90"/>
    <d v="2023-09-10T00:00:00"/>
    <d v="1899-12-30T17:53:00"/>
    <n v="3"/>
    <x v="1"/>
    <x v="12"/>
    <x v="2"/>
    <n v="1"/>
    <n v="30"/>
    <n v="13.5"/>
    <n v="30"/>
    <x v="1"/>
    <n v="9"/>
    <x v="9"/>
    <n v="10"/>
    <x v="5"/>
    <n v="3"/>
    <n v="16.5"/>
    <n v="0.55000000000000004"/>
    <n v="0"/>
    <x v="1"/>
  </r>
  <r>
    <n v="380"/>
    <d v="2023-08-30T00:00:00"/>
    <d v="1899-12-30T22:26:00"/>
    <n v="2"/>
    <x v="0"/>
    <x v="34"/>
    <x v="2"/>
    <n v="2"/>
    <n v="300"/>
    <n v="102"/>
    <n v="600"/>
    <x v="1"/>
    <n v="8"/>
    <x v="4"/>
    <n v="30"/>
    <x v="4"/>
    <n v="3"/>
    <n v="498"/>
    <n v="0.83"/>
    <n v="1"/>
    <x v="1"/>
  </r>
  <r>
    <n v="593"/>
    <d v="2023-01-18T00:00:00"/>
    <d v="1899-12-30T22:05:00"/>
    <n v="2"/>
    <x v="0"/>
    <x v="39"/>
    <x v="2"/>
    <n v="2"/>
    <n v="30"/>
    <n v="13.2"/>
    <n v="60"/>
    <x v="1"/>
    <n v="1"/>
    <x v="3"/>
    <n v="18"/>
    <x v="4"/>
    <n v="1"/>
    <n v="46.8"/>
    <n v="0.78"/>
    <n v="0"/>
    <x v="2"/>
  </r>
  <r>
    <n v="820"/>
    <d v="2023-02-17T00:00:00"/>
    <d v="1899-12-30T22:49:00"/>
    <n v="1"/>
    <x v="0"/>
    <x v="28"/>
    <x v="2"/>
    <n v="4"/>
    <n v="50"/>
    <n v="24"/>
    <n v="200"/>
    <x v="1"/>
    <n v="2"/>
    <x v="10"/>
    <n v="17"/>
    <x v="3"/>
    <n v="1"/>
    <n v="176"/>
    <n v="0.88"/>
    <n v="1"/>
    <x v="2"/>
  </r>
  <r>
    <n v="1005"/>
    <d v="2023-08-12T00:00:00"/>
    <d v="1899-12-30T20:38:00"/>
    <n v="2"/>
    <x v="0"/>
    <x v="7"/>
    <x v="1"/>
    <n v="2"/>
    <n v="50"/>
    <n v="17.5"/>
    <n v="100"/>
    <x v="1"/>
    <n v="8"/>
    <x v="4"/>
    <n v="12"/>
    <x v="0"/>
    <n v="3"/>
    <n v="82.5"/>
    <n v="0.82499999999999996"/>
    <n v="0"/>
    <x v="1"/>
  </r>
  <r>
    <n v="1090"/>
    <d v="2023-02-18T00:00:00"/>
    <d v="1899-12-30T19:54:00"/>
    <n v="4"/>
    <x v="1"/>
    <x v="12"/>
    <x v="2"/>
    <n v="1"/>
    <n v="30"/>
    <n v="7.5"/>
    <n v="30"/>
    <x v="1"/>
    <n v="2"/>
    <x v="10"/>
    <n v="18"/>
    <x v="0"/>
    <n v="1"/>
    <n v="22.5"/>
    <n v="0.75"/>
    <n v="0"/>
    <x v="2"/>
  </r>
  <r>
    <n v="1380"/>
    <d v="2023-02-09T00:00:00"/>
    <d v="1899-12-30T19:45:00"/>
    <n v="3"/>
    <x v="0"/>
    <x v="34"/>
    <x v="2"/>
    <n v="2"/>
    <n v="300"/>
    <n v="159"/>
    <n v="600"/>
    <x v="1"/>
    <n v="2"/>
    <x v="10"/>
    <n v="9"/>
    <x v="2"/>
    <n v="1"/>
    <n v="441"/>
    <n v="0.73499999999999999"/>
    <n v="1"/>
    <x v="2"/>
  </r>
  <r>
    <n v="1593"/>
    <d v="2023-02-24T00:00:00"/>
    <d v="1899-12-30T22:39:00"/>
    <n v="5"/>
    <x v="0"/>
    <x v="39"/>
    <x v="2"/>
    <n v="2"/>
    <n v="30"/>
    <n v="14.4"/>
    <n v="60"/>
    <x v="1"/>
    <n v="2"/>
    <x v="10"/>
    <n v="24"/>
    <x v="3"/>
    <n v="1"/>
    <n v="45.6"/>
    <n v="0.76"/>
    <n v="0"/>
    <x v="2"/>
  </r>
  <r>
    <n v="1820"/>
    <d v="2023-05-13T00:00:00"/>
    <d v="1899-12-30T21:31:00"/>
    <n v="1"/>
    <x v="0"/>
    <x v="28"/>
    <x v="2"/>
    <n v="4"/>
    <n v="50"/>
    <n v="22"/>
    <n v="200"/>
    <x v="1"/>
    <n v="5"/>
    <x v="7"/>
    <n v="13"/>
    <x v="0"/>
    <n v="2"/>
    <n v="178"/>
    <n v="0.89"/>
    <n v="1"/>
    <x v="3"/>
  </r>
  <r>
    <n v="120"/>
    <d v="2023-03-31T00:00:00"/>
    <d v="1899-12-30T19:35:00"/>
    <n v="4"/>
    <x v="0"/>
    <x v="13"/>
    <x v="1"/>
    <n v="1"/>
    <n v="50"/>
    <n v="12.5"/>
    <n v="50"/>
    <x v="1"/>
    <n v="3"/>
    <x v="8"/>
    <n v="31"/>
    <x v="3"/>
    <n v="1"/>
    <n v="37.5"/>
    <n v="0.75"/>
    <n v="0"/>
    <x v="2"/>
  </r>
  <r>
    <n v="221"/>
    <d v="2023-11-27T00:00:00"/>
    <d v="1899-12-30T21:01:00"/>
    <n v="3"/>
    <x v="0"/>
    <x v="27"/>
    <x v="1"/>
    <n v="2"/>
    <n v="300"/>
    <n v="111"/>
    <n v="600"/>
    <x v="1"/>
    <n v="11"/>
    <x v="0"/>
    <n v="27"/>
    <x v="1"/>
    <n v="4"/>
    <n v="489"/>
    <n v="0.81499999999999995"/>
    <n v="1"/>
    <x v="0"/>
  </r>
  <r>
    <n v="341"/>
    <d v="2023-01-20T00:00:00"/>
    <d v="1899-12-30T17:06:00"/>
    <n v="5"/>
    <x v="0"/>
    <x v="16"/>
    <x v="0"/>
    <n v="4"/>
    <n v="50"/>
    <n v="18.5"/>
    <n v="200"/>
    <x v="1"/>
    <n v="1"/>
    <x v="3"/>
    <n v="20"/>
    <x v="3"/>
    <n v="1"/>
    <n v="181.5"/>
    <n v="0.90749999999999997"/>
    <n v="1"/>
    <x v="2"/>
  </r>
  <r>
    <n v="640"/>
    <d v="2023-12-25T00:00:00"/>
    <d v="1899-12-30T20:05:00"/>
    <n v="3"/>
    <x v="1"/>
    <x v="12"/>
    <x v="2"/>
    <n v="4"/>
    <n v="30"/>
    <n v="12.6"/>
    <n v="120"/>
    <x v="1"/>
    <n v="12"/>
    <x v="2"/>
    <n v="25"/>
    <x v="1"/>
    <n v="4"/>
    <n v="107.4"/>
    <n v="0.89500000000000002"/>
    <n v="0"/>
    <x v="0"/>
  </r>
  <r>
    <n v="744"/>
    <d v="2023-05-23T00:00:00"/>
    <d v="1899-12-30T18:02:00"/>
    <n v="1"/>
    <x v="0"/>
    <x v="2"/>
    <x v="2"/>
    <n v="1"/>
    <n v="25"/>
    <n v="6.5"/>
    <n v="25"/>
    <x v="1"/>
    <n v="5"/>
    <x v="7"/>
    <n v="23"/>
    <x v="6"/>
    <n v="2"/>
    <n v="18.5"/>
    <n v="0.74"/>
    <n v="0"/>
    <x v="3"/>
  </r>
  <r>
    <n v="1120"/>
    <d v="2023-03-02T00:00:00"/>
    <d v="1899-12-30T19:32:00"/>
    <n v="4"/>
    <x v="0"/>
    <x v="13"/>
    <x v="1"/>
    <n v="1"/>
    <n v="50"/>
    <n v="26.5"/>
    <n v="50"/>
    <x v="1"/>
    <n v="3"/>
    <x v="8"/>
    <n v="2"/>
    <x v="2"/>
    <n v="1"/>
    <n v="23.5"/>
    <n v="0.47"/>
    <n v="0"/>
    <x v="2"/>
  </r>
  <r>
    <n v="1221"/>
    <d v="2023-09-14T00:00:00"/>
    <d v="1899-12-30T22:57:00"/>
    <n v="5"/>
    <x v="0"/>
    <x v="27"/>
    <x v="1"/>
    <n v="2"/>
    <n v="300"/>
    <n v="114"/>
    <n v="600"/>
    <x v="1"/>
    <n v="9"/>
    <x v="9"/>
    <n v="14"/>
    <x v="2"/>
    <n v="3"/>
    <n v="486"/>
    <n v="0.81"/>
    <n v="1"/>
    <x v="1"/>
  </r>
  <r>
    <n v="1341"/>
    <d v="2023-01-30T00:00:00"/>
    <d v="1899-12-30T22:10:00"/>
    <n v="1"/>
    <x v="0"/>
    <x v="16"/>
    <x v="0"/>
    <n v="4"/>
    <n v="50"/>
    <n v="21"/>
    <n v="200"/>
    <x v="1"/>
    <n v="1"/>
    <x v="3"/>
    <n v="30"/>
    <x v="1"/>
    <n v="1"/>
    <n v="179"/>
    <n v="0.89500000000000002"/>
    <n v="1"/>
    <x v="2"/>
  </r>
  <r>
    <n v="1640"/>
    <d v="2023-06-10T00:00:00"/>
    <d v="1899-12-30T19:44:00"/>
    <n v="5"/>
    <x v="1"/>
    <x v="12"/>
    <x v="2"/>
    <n v="4"/>
    <n v="30"/>
    <n v="14.1"/>
    <n v="120"/>
    <x v="1"/>
    <n v="6"/>
    <x v="11"/>
    <n v="10"/>
    <x v="0"/>
    <n v="2"/>
    <n v="105.9"/>
    <n v="0.88249999999999995"/>
    <n v="0"/>
    <x v="3"/>
  </r>
  <r>
    <n v="1744"/>
    <d v="2023-07-07T00:00:00"/>
    <d v="1899-12-30T21:49:00"/>
    <n v="4"/>
    <x v="0"/>
    <x v="2"/>
    <x v="2"/>
    <n v="1"/>
    <n v="25"/>
    <n v="8.75"/>
    <n v="25"/>
    <x v="1"/>
    <n v="7"/>
    <x v="1"/>
    <n v="7"/>
    <x v="3"/>
    <n v="3"/>
    <n v="16.25"/>
    <n v="0.65"/>
    <n v="0"/>
    <x v="1"/>
  </r>
  <r>
    <n v="273"/>
    <d v="2023-09-26T00:00:00"/>
    <d v="1899-12-30T20:24:00"/>
    <n v="1"/>
    <x v="1"/>
    <x v="30"/>
    <x v="1"/>
    <n v="1"/>
    <n v="50"/>
    <n v="14.5"/>
    <n v="50"/>
    <x v="1"/>
    <n v="9"/>
    <x v="9"/>
    <n v="26"/>
    <x v="6"/>
    <n v="3"/>
    <n v="35.5"/>
    <n v="0.71"/>
    <n v="0"/>
    <x v="1"/>
  </r>
  <r>
    <n v="283"/>
    <d v="2023-06-01T00:00:00"/>
    <d v="1899-12-30T20:08:00"/>
    <n v="3"/>
    <x v="1"/>
    <x v="18"/>
    <x v="2"/>
    <n v="1"/>
    <n v="500"/>
    <n v="165"/>
    <n v="500"/>
    <x v="1"/>
    <n v="6"/>
    <x v="11"/>
    <n v="1"/>
    <x v="2"/>
    <n v="2"/>
    <n v="335"/>
    <n v="0.67"/>
    <n v="1"/>
    <x v="3"/>
  </r>
  <r>
    <n v="452"/>
    <d v="2023-01-30T00:00:00"/>
    <d v="1899-12-30T22:41:00"/>
    <n v="4"/>
    <x v="1"/>
    <x v="42"/>
    <x v="0"/>
    <n v="3"/>
    <n v="500"/>
    <n v="240"/>
    <n v="1500"/>
    <x v="1"/>
    <n v="1"/>
    <x v="3"/>
    <n v="30"/>
    <x v="1"/>
    <n v="1"/>
    <n v="1260"/>
    <n v="0.84"/>
    <n v="1"/>
    <x v="2"/>
  </r>
  <r>
    <n v="469"/>
    <d v="2023-03-21T00:00:00"/>
    <d v="1899-12-30T19:24:00"/>
    <n v="4"/>
    <x v="0"/>
    <x v="18"/>
    <x v="1"/>
    <n v="3"/>
    <n v="25"/>
    <n v="8.75"/>
    <n v="75"/>
    <x v="1"/>
    <n v="3"/>
    <x v="8"/>
    <n v="21"/>
    <x v="6"/>
    <n v="1"/>
    <n v="66.25"/>
    <n v="0.88333333300000005"/>
    <n v="0"/>
    <x v="2"/>
  </r>
  <r>
    <n v="620"/>
    <d v="2023-11-06T00:00:00"/>
    <d v="1899-12-30T20:59:00"/>
    <n v="4"/>
    <x v="0"/>
    <x v="15"/>
    <x v="2"/>
    <n v="3"/>
    <n v="25"/>
    <n v="7"/>
    <n v="75"/>
    <x v="1"/>
    <n v="11"/>
    <x v="0"/>
    <n v="6"/>
    <x v="1"/>
    <n v="4"/>
    <n v="68"/>
    <n v="0.90666666699999998"/>
    <n v="0"/>
    <x v="0"/>
  </r>
  <r>
    <n v="946"/>
    <d v="2023-08-08T00:00:00"/>
    <d v="1899-12-30T20:15:00"/>
    <n v="2"/>
    <x v="0"/>
    <x v="44"/>
    <x v="2"/>
    <n v="4"/>
    <n v="500"/>
    <n v="235"/>
    <n v="2000"/>
    <x v="1"/>
    <n v="8"/>
    <x v="4"/>
    <n v="8"/>
    <x v="6"/>
    <n v="3"/>
    <n v="1765"/>
    <n v="0.88249999999999995"/>
    <n v="1"/>
    <x v="1"/>
  </r>
  <r>
    <n v="1273"/>
    <d v="2023-06-20T00:00:00"/>
    <d v="1899-12-30T20:39:00"/>
    <n v="1"/>
    <x v="1"/>
    <x v="30"/>
    <x v="1"/>
    <n v="1"/>
    <n v="50"/>
    <n v="25.5"/>
    <n v="50"/>
    <x v="1"/>
    <n v="6"/>
    <x v="11"/>
    <n v="20"/>
    <x v="6"/>
    <n v="2"/>
    <n v="24.5"/>
    <n v="0.49"/>
    <n v="0"/>
    <x v="3"/>
  </r>
  <r>
    <n v="1283"/>
    <d v="2023-10-14T00:00:00"/>
    <d v="1899-12-30T20:15:00"/>
    <n v="1"/>
    <x v="1"/>
    <x v="18"/>
    <x v="2"/>
    <n v="1"/>
    <n v="500"/>
    <n v="130"/>
    <n v="500"/>
    <x v="1"/>
    <n v="10"/>
    <x v="5"/>
    <n v="14"/>
    <x v="0"/>
    <n v="4"/>
    <n v="370"/>
    <n v="0.74"/>
    <n v="1"/>
    <x v="0"/>
  </r>
  <r>
    <n v="1452"/>
    <d v="2023-08-06T00:00:00"/>
    <d v="1899-12-30T17:41:00"/>
    <n v="3"/>
    <x v="1"/>
    <x v="42"/>
    <x v="0"/>
    <n v="3"/>
    <n v="500"/>
    <n v="185"/>
    <n v="1500"/>
    <x v="1"/>
    <n v="8"/>
    <x v="4"/>
    <n v="6"/>
    <x v="5"/>
    <n v="3"/>
    <n v="1315"/>
    <n v="0.87666666699999996"/>
    <n v="1"/>
    <x v="1"/>
  </r>
  <r>
    <n v="1469"/>
    <d v="2023-12-08T00:00:00"/>
    <d v="1899-12-30T17:22:00"/>
    <n v="3"/>
    <x v="0"/>
    <x v="18"/>
    <x v="1"/>
    <n v="3"/>
    <n v="25"/>
    <n v="12.5"/>
    <n v="75"/>
    <x v="1"/>
    <n v="12"/>
    <x v="2"/>
    <n v="8"/>
    <x v="3"/>
    <n v="4"/>
    <n v="62.5"/>
    <n v="0.83333333300000001"/>
    <n v="0"/>
    <x v="0"/>
  </r>
  <r>
    <n v="1620"/>
    <d v="2023-02-03T00:00:00"/>
    <d v="1899-12-30T22:48:00"/>
    <n v="5"/>
    <x v="0"/>
    <x v="15"/>
    <x v="2"/>
    <n v="3"/>
    <n v="25"/>
    <n v="7.75"/>
    <n v="75"/>
    <x v="1"/>
    <n v="2"/>
    <x v="10"/>
    <n v="3"/>
    <x v="3"/>
    <n v="1"/>
    <n v="67.25"/>
    <n v="0.89666666699999997"/>
    <n v="0"/>
    <x v="2"/>
  </r>
  <r>
    <n v="1946"/>
    <d v="2023-07-27T00:00:00"/>
    <d v="1899-12-30T20:48:00"/>
    <n v="5"/>
    <x v="0"/>
    <x v="44"/>
    <x v="2"/>
    <n v="4"/>
    <n v="500"/>
    <n v="165"/>
    <n v="2000"/>
    <x v="1"/>
    <n v="7"/>
    <x v="1"/>
    <n v="27"/>
    <x v="2"/>
    <n v="3"/>
    <n v="1835"/>
    <n v="0.91749999999999998"/>
    <n v="1"/>
    <x v="1"/>
  </r>
  <r>
    <n v="148"/>
    <d v="2023-07-03T00:00:00"/>
    <d v="1899-12-30T20:39:00"/>
    <n v="5"/>
    <x v="0"/>
    <x v="18"/>
    <x v="0"/>
    <n v="2"/>
    <n v="30"/>
    <n v="9.9"/>
    <n v="60"/>
    <x v="1"/>
    <n v="7"/>
    <x v="1"/>
    <n v="3"/>
    <x v="1"/>
    <n v="3"/>
    <n v="50.1"/>
    <n v="0.83499999999999996"/>
    <n v="0"/>
    <x v="1"/>
  </r>
  <r>
    <n v="414"/>
    <d v="2023-05-10T00:00:00"/>
    <d v="1899-12-30T19:40:00"/>
    <n v="1"/>
    <x v="0"/>
    <x v="42"/>
    <x v="1"/>
    <n v="4"/>
    <n v="25"/>
    <n v="9.75"/>
    <n v="100"/>
    <x v="1"/>
    <n v="5"/>
    <x v="7"/>
    <n v="10"/>
    <x v="4"/>
    <n v="2"/>
    <n v="90.25"/>
    <n v="0.90249999999999997"/>
    <n v="0"/>
    <x v="3"/>
  </r>
  <r>
    <n v="883"/>
    <d v="2023-08-20T00:00:00"/>
    <d v="1899-12-30T20:43:00"/>
    <n v="5"/>
    <x v="0"/>
    <x v="2"/>
    <x v="2"/>
    <n v="1"/>
    <n v="500"/>
    <n v="245"/>
    <n v="500"/>
    <x v="1"/>
    <n v="8"/>
    <x v="4"/>
    <n v="20"/>
    <x v="5"/>
    <n v="3"/>
    <n v="255"/>
    <n v="0.51"/>
    <n v="1"/>
    <x v="1"/>
  </r>
  <r>
    <n v="1148"/>
    <d v="2023-08-11T00:00:00"/>
    <d v="1899-12-30T22:04:00"/>
    <n v="2"/>
    <x v="0"/>
    <x v="18"/>
    <x v="0"/>
    <n v="2"/>
    <n v="30"/>
    <n v="10.8"/>
    <n v="60"/>
    <x v="1"/>
    <n v="8"/>
    <x v="4"/>
    <n v="11"/>
    <x v="3"/>
    <n v="3"/>
    <n v="49.2"/>
    <n v="0.82"/>
    <n v="0"/>
    <x v="1"/>
  </r>
  <r>
    <n v="1414"/>
    <d v="2023-11-22T00:00:00"/>
    <d v="1899-12-30T21:28:00"/>
    <n v="4"/>
    <x v="0"/>
    <x v="42"/>
    <x v="1"/>
    <n v="4"/>
    <n v="25"/>
    <n v="11.25"/>
    <n v="100"/>
    <x v="1"/>
    <n v="11"/>
    <x v="0"/>
    <n v="22"/>
    <x v="4"/>
    <n v="4"/>
    <n v="88.75"/>
    <n v="0.88749999999999996"/>
    <n v="0"/>
    <x v="0"/>
  </r>
  <r>
    <n v="1883"/>
    <d v="2023-09-20T00:00:00"/>
    <d v="1899-12-30T17:54:00"/>
    <n v="3"/>
    <x v="0"/>
    <x v="2"/>
    <x v="2"/>
    <n v="1"/>
    <n v="500"/>
    <n v="200"/>
    <n v="500"/>
    <x v="1"/>
    <n v="9"/>
    <x v="9"/>
    <n v="20"/>
    <x v="4"/>
    <n v="3"/>
    <n v="300"/>
    <n v="0.6"/>
    <n v="1"/>
    <x v="1"/>
  </r>
  <r>
    <n v="731"/>
    <d v="2023-09-30T00:00:00"/>
    <d v="1899-12-30T18:49:00"/>
    <n v="1"/>
    <x v="0"/>
    <x v="29"/>
    <x v="0"/>
    <n v="4"/>
    <n v="500"/>
    <n v="165"/>
    <n v="2000"/>
    <x v="1"/>
    <n v="9"/>
    <x v="9"/>
    <n v="30"/>
    <x v="0"/>
    <n v="3"/>
    <n v="1835"/>
    <n v="0.91749999999999998"/>
    <n v="1"/>
    <x v="1"/>
  </r>
  <r>
    <n v="930"/>
    <d v="2023-01-12T00:00:00"/>
    <d v="1899-12-30T17:54:00"/>
    <n v="1"/>
    <x v="0"/>
    <x v="29"/>
    <x v="0"/>
    <n v="4"/>
    <n v="50"/>
    <n v="26"/>
    <n v="200"/>
    <x v="1"/>
    <n v="1"/>
    <x v="3"/>
    <n v="12"/>
    <x v="2"/>
    <n v="1"/>
    <n v="174"/>
    <n v="0.87"/>
    <n v="1"/>
    <x v="2"/>
  </r>
  <r>
    <n v="1731"/>
    <d v="2023-12-19T00:00:00"/>
    <d v="1899-12-30T17:41:00"/>
    <n v="3"/>
    <x v="0"/>
    <x v="29"/>
    <x v="0"/>
    <n v="4"/>
    <n v="500"/>
    <n v="195"/>
    <n v="2000"/>
    <x v="1"/>
    <n v="12"/>
    <x v="2"/>
    <n v="19"/>
    <x v="6"/>
    <n v="4"/>
    <n v="1805"/>
    <n v="0.90249999999999997"/>
    <n v="1"/>
    <x v="0"/>
  </r>
  <r>
    <n v="1930"/>
    <d v="2023-12-21T00:00:00"/>
    <d v="1899-12-30T19:58:00"/>
    <n v="5"/>
    <x v="0"/>
    <x v="29"/>
    <x v="0"/>
    <n v="4"/>
    <n v="50"/>
    <n v="13"/>
    <n v="200"/>
    <x v="1"/>
    <n v="12"/>
    <x v="2"/>
    <n v="21"/>
    <x v="2"/>
    <n v="4"/>
    <n v="187"/>
    <n v="0.93500000000000005"/>
    <n v="1"/>
    <x v="0"/>
  </r>
  <r>
    <n v="518"/>
    <d v="2023-07-31T00:00:00"/>
    <d v="1899-12-30T17:01:00"/>
    <n v="2"/>
    <x v="1"/>
    <x v="2"/>
    <x v="0"/>
    <n v="1"/>
    <n v="30"/>
    <n v="16.2"/>
    <n v="30"/>
    <x v="1"/>
    <n v="7"/>
    <x v="1"/>
    <n v="31"/>
    <x v="1"/>
    <n v="3"/>
    <n v="13.8"/>
    <n v="0.46"/>
    <n v="0"/>
    <x v="1"/>
  </r>
  <r>
    <n v="1518"/>
    <d v="2023-05-18T00:00:00"/>
    <d v="1899-12-30T20:03:00"/>
    <n v="3"/>
    <x v="1"/>
    <x v="2"/>
    <x v="0"/>
    <n v="1"/>
    <n v="30"/>
    <n v="12.6"/>
    <n v="30"/>
    <x v="1"/>
    <n v="5"/>
    <x v="7"/>
    <n v="18"/>
    <x v="2"/>
    <n v="2"/>
    <n v="17.399999999999999"/>
    <n v="0.57999999999999996"/>
    <n v="0"/>
    <x v="3"/>
  </r>
  <r>
    <n v="758"/>
    <d v="2023-04-23T00:00:00"/>
    <d v="1899-12-30T18:30:00"/>
    <n v="1"/>
    <x v="0"/>
    <x v="3"/>
    <x v="0"/>
    <n v="4"/>
    <n v="25"/>
    <n v="6.75"/>
    <n v="100"/>
    <x v="1"/>
    <n v="4"/>
    <x v="6"/>
    <n v="23"/>
    <x v="5"/>
    <n v="2"/>
    <n v="93.25"/>
    <n v="0.9325"/>
    <n v="0"/>
    <x v="3"/>
  </r>
  <r>
    <n v="1758"/>
    <d v="2023-07-22T00:00:00"/>
    <d v="1899-12-30T18:19:00"/>
    <n v="3"/>
    <x v="0"/>
    <x v="3"/>
    <x v="0"/>
    <n v="4"/>
    <n v="25"/>
    <n v="7.5"/>
    <n v="100"/>
    <x v="1"/>
    <n v="7"/>
    <x v="1"/>
    <n v="22"/>
    <x v="0"/>
    <n v="3"/>
    <n v="92.5"/>
    <n v="0.92500000000000004"/>
    <n v="0"/>
    <x v="1"/>
  </r>
  <r>
    <n v="639"/>
    <d v="2023-08-01T00:00:00"/>
    <d v="1899-12-30T19:47:00"/>
    <n v="4"/>
    <x v="1"/>
    <x v="44"/>
    <x v="1"/>
    <n v="4"/>
    <n v="50"/>
    <n v="26.5"/>
    <n v="200"/>
    <x v="1"/>
    <n v="8"/>
    <x v="4"/>
    <n v="1"/>
    <x v="6"/>
    <n v="3"/>
    <n v="173.5"/>
    <n v="0.86750000000000005"/>
    <n v="1"/>
    <x v="1"/>
  </r>
  <r>
    <n v="838"/>
    <d v="2023-09-30T00:00:00"/>
    <d v="1899-12-30T21:20:00"/>
    <n v="1"/>
    <x v="0"/>
    <x v="35"/>
    <x v="2"/>
    <n v="2"/>
    <n v="300"/>
    <n v="153"/>
    <n v="600"/>
    <x v="1"/>
    <n v="9"/>
    <x v="9"/>
    <n v="30"/>
    <x v="0"/>
    <n v="3"/>
    <n v="447"/>
    <n v="0.745"/>
    <n v="1"/>
    <x v="1"/>
  </r>
  <r>
    <n v="1639"/>
    <d v="2023-12-20T00:00:00"/>
    <d v="1899-12-30T18:13:00"/>
    <n v="5"/>
    <x v="1"/>
    <x v="44"/>
    <x v="1"/>
    <n v="4"/>
    <n v="50"/>
    <n v="24"/>
    <n v="200"/>
    <x v="1"/>
    <n v="12"/>
    <x v="2"/>
    <n v="20"/>
    <x v="4"/>
    <n v="4"/>
    <n v="176"/>
    <n v="0.88"/>
    <n v="1"/>
    <x v="0"/>
  </r>
  <r>
    <n v="1838"/>
    <d v="2023-06-28T00:00:00"/>
    <d v="1899-12-30T17:06:00"/>
    <n v="4"/>
    <x v="0"/>
    <x v="35"/>
    <x v="2"/>
    <n v="2"/>
    <n v="300"/>
    <n v="102"/>
    <n v="600"/>
    <x v="1"/>
    <n v="6"/>
    <x v="11"/>
    <n v="28"/>
    <x v="4"/>
    <n v="2"/>
    <n v="498"/>
    <n v="0.83"/>
    <n v="1"/>
    <x v="3"/>
  </r>
  <r>
    <n v="353"/>
    <d v="2023-03-18T00:00:00"/>
    <d v="1899-12-30T21:35:00"/>
    <n v="5"/>
    <x v="0"/>
    <x v="16"/>
    <x v="2"/>
    <n v="1"/>
    <n v="500"/>
    <n v="270"/>
    <n v="500"/>
    <x v="1"/>
    <n v="3"/>
    <x v="8"/>
    <n v="18"/>
    <x v="0"/>
    <n v="1"/>
    <n v="230"/>
    <n v="0.46"/>
    <n v="1"/>
    <x v="2"/>
  </r>
  <r>
    <n v="501"/>
    <d v="2023-06-28T00:00:00"/>
    <d v="1899-12-30T20:21:00"/>
    <n v="2"/>
    <x v="0"/>
    <x v="27"/>
    <x v="2"/>
    <n v="2"/>
    <n v="30"/>
    <n v="9"/>
    <n v="60"/>
    <x v="1"/>
    <n v="6"/>
    <x v="11"/>
    <n v="28"/>
    <x v="4"/>
    <n v="2"/>
    <n v="51"/>
    <n v="0.85"/>
    <n v="0"/>
    <x v="3"/>
  </r>
  <r>
    <n v="721"/>
    <d v="2023-06-23T00:00:00"/>
    <d v="1899-12-30T17:10:00"/>
    <n v="5"/>
    <x v="1"/>
    <x v="41"/>
    <x v="0"/>
    <n v="1"/>
    <n v="500"/>
    <n v="145"/>
    <n v="500"/>
    <x v="1"/>
    <n v="6"/>
    <x v="11"/>
    <n v="23"/>
    <x v="3"/>
    <n v="2"/>
    <n v="355"/>
    <n v="0.71"/>
    <n v="1"/>
    <x v="3"/>
  </r>
  <r>
    <n v="1353"/>
    <d v="2023-09-04T00:00:00"/>
    <d v="1899-12-30T21:59:00"/>
    <n v="3"/>
    <x v="0"/>
    <x v="16"/>
    <x v="2"/>
    <n v="1"/>
    <n v="500"/>
    <n v="235"/>
    <n v="500"/>
    <x v="1"/>
    <n v="9"/>
    <x v="9"/>
    <n v="4"/>
    <x v="1"/>
    <n v="3"/>
    <n v="265"/>
    <n v="0.53"/>
    <n v="1"/>
    <x v="1"/>
  </r>
  <r>
    <n v="1501"/>
    <d v="2023-01-31T00:00:00"/>
    <d v="1899-12-30T18:00:00"/>
    <n v="1"/>
    <x v="0"/>
    <x v="27"/>
    <x v="2"/>
    <n v="2"/>
    <n v="30"/>
    <n v="13.5"/>
    <n v="60"/>
    <x v="1"/>
    <n v="1"/>
    <x v="3"/>
    <n v="31"/>
    <x v="6"/>
    <n v="1"/>
    <n v="46.5"/>
    <n v="0.77500000000000002"/>
    <n v="0"/>
    <x v="2"/>
  </r>
  <r>
    <n v="1721"/>
    <d v="2023-01-21T00:00:00"/>
    <d v="1899-12-30T22:42:00"/>
    <n v="3"/>
    <x v="1"/>
    <x v="41"/>
    <x v="0"/>
    <n v="1"/>
    <n v="500"/>
    <n v="215"/>
    <n v="500"/>
    <x v="1"/>
    <n v="1"/>
    <x v="3"/>
    <n v="21"/>
    <x v="0"/>
    <n v="1"/>
    <n v="285"/>
    <n v="0.56999999999999995"/>
    <n v="1"/>
    <x v="2"/>
  </r>
  <r>
    <n v="123"/>
    <d v="2023-08-11T00:00:00"/>
    <d v="1899-12-30T19:00:00"/>
    <n v="3"/>
    <x v="1"/>
    <x v="2"/>
    <x v="2"/>
    <n v="2"/>
    <n v="30"/>
    <n v="11.7"/>
    <n v="60"/>
    <x v="1"/>
    <n v="8"/>
    <x v="4"/>
    <n v="11"/>
    <x v="3"/>
    <n v="3"/>
    <n v="48.3"/>
    <n v="0.80500000000000005"/>
    <n v="0"/>
    <x v="1"/>
  </r>
  <r>
    <n v="164"/>
    <d v="2023-02-28T00:00:00"/>
    <d v="1899-12-30T18:26:00"/>
    <n v="3"/>
    <x v="1"/>
    <x v="35"/>
    <x v="1"/>
    <n v="3"/>
    <n v="500"/>
    <n v="185"/>
    <n v="1500"/>
    <x v="1"/>
    <n v="2"/>
    <x v="10"/>
    <n v="28"/>
    <x v="6"/>
    <n v="1"/>
    <n v="1315"/>
    <n v="0.87666666699999996"/>
    <n v="1"/>
    <x v="2"/>
  </r>
  <r>
    <n v="425"/>
    <d v="2023-06-11T00:00:00"/>
    <d v="1899-12-30T18:28:00"/>
    <n v="2"/>
    <x v="1"/>
    <x v="46"/>
    <x v="2"/>
    <n v="4"/>
    <n v="30"/>
    <n v="15.6"/>
    <n v="120"/>
    <x v="1"/>
    <n v="6"/>
    <x v="11"/>
    <n v="11"/>
    <x v="5"/>
    <n v="2"/>
    <n v="104.4"/>
    <n v="0.87"/>
    <n v="0"/>
    <x v="3"/>
  </r>
  <r>
    <n v="1123"/>
    <d v="2023-12-11T00:00:00"/>
    <d v="1899-12-30T21:04:00"/>
    <n v="1"/>
    <x v="1"/>
    <x v="2"/>
    <x v="2"/>
    <n v="2"/>
    <n v="30"/>
    <n v="10.8"/>
    <n v="60"/>
    <x v="1"/>
    <n v="12"/>
    <x v="2"/>
    <n v="11"/>
    <x v="1"/>
    <n v="4"/>
    <n v="49.2"/>
    <n v="0.82"/>
    <n v="0"/>
    <x v="0"/>
  </r>
  <r>
    <n v="1164"/>
    <d v="2023-04-07T00:00:00"/>
    <d v="1899-12-30T20:53:00"/>
    <n v="1"/>
    <x v="1"/>
    <x v="35"/>
    <x v="1"/>
    <n v="3"/>
    <n v="500"/>
    <n v="245"/>
    <n v="1500"/>
    <x v="1"/>
    <n v="4"/>
    <x v="6"/>
    <n v="7"/>
    <x v="3"/>
    <n v="2"/>
    <n v="1255"/>
    <n v="0.83666666700000003"/>
    <n v="1"/>
    <x v="3"/>
  </r>
  <r>
    <n v="1425"/>
    <d v="2023-12-02T00:00:00"/>
    <d v="1899-12-30T22:15:00"/>
    <n v="1"/>
    <x v="1"/>
    <x v="46"/>
    <x v="2"/>
    <n v="4"/>
    <n v="30"/>
    <n v="10.199999999999999"/>
    <n v="120"/>
    <x v="1"/>
    <n v="12"/>
    <x v="2"/>
    <n v="2"/>
    <x v="0"/>
    <n v="4"/>
    <n v="109.8"/>
    <n v="0.91500000000000004"/>
    <n v="0"/>
    <x v="0"/>
  </r>
  <r>
    <n v="48"/>
    <d v="2023-10-06T00:00:00"/>
    <d v="1899-12-30T17:34:00"/>
    <n v="2"/>
    <x v="0"/>
    <x v="29"/>
    <x v="2"/>
    <n v="3"/>
    <n v="300"/>
    <n v="123"/>
    <n v="900"/>
    <x v="1"/>
    <n v="10"/>
    <x v="5"/>
    <n v="6"/>
    <x v="3"/>
    <n v="4"/>
    <n v="777"/>
    <n v="0.86333333300000004"/>
    <n v="1"/>
    <x v="0"/>
  </r>
  <r>
    <n v="118"/>
    <d v="2023-03-13T00:00:00"/>
    <d v="1899-12-30T20:07:00"/>
    <n v="3"/>
    <x v="1"/>
    <x v="7"/>
    <x v="2"/>
    <n v="4"/>
    <n v="500"/>
    <n v="270"/>
    <n v="2000"/>
    <x v="1"/>
    <n v="3"/>
    <x v="8"/>
    <n v="13"/>
    <x v="1"/>
    <n v="1"/>
    <n v="1730"/>
    <n v="0.86499999999999999"/>
    <n v="1"/>
    <x v="2"/>
  </r>
  <r>
    <n v="203"/>
    <d v="2023-03-12T00:00:00"/>
    <d v="1899-12-30T21:33:00"/>
    <n v="4"/>
    <x v="0"/>
    <x v="34"/>
    <x v="0"/>
    <n v="2"/>
    <n v="500"/>
    <n v="175"/>
    <n v="1000"/>
    <x v="1"/>
    <n v="3"/>
    <x v="8"/>
    <n v="12"/>
    <x v="5"/>
    <n v="1"/>
    <n v="825"/>
    <n v="0.82499999999999996"/>
    <n v="1"/>
    <x v="2"/>
  </r>
  <r>
    <n v="305"/>
    <d v="2023-03-22T00:00:00"/>
    <d v="1899-12-30T22:09:00"/>
    <n v="4"/>
    <x v="1"/>
    <x v="18"/>
    <x v="1"/>
    <n v="1"/>
    <n v="30"/>
    <n v="14.4"/>
    <n v="30"/>
    <x v="1"/>
    <n v="3"/>
    <x v="8"/>
    <n v="22"/>
    <x v="4"/>
    <n v="1"/>
    <n v="15.6"/>
    <n v="0.52"/>
    <n v="0"/>
    <x v="2"/>
  </r>
  <r>
    <n v="358"/>
    <d v="2023-10-12T00:00:00"/>
    <d v="1899-12-30T18:32:00"/>
    <n v="4"/>
    <x v="1"/>
    <x v="37"/>
    <x v="1"/>
    <n v="1"/>
    <n v="300"/>
    <n v="132"/>
    <n v="300"/>
    <x v="1"/>
    <n v="10"/>
    <x v="5"/>
    <n v="12"/>
    <x v="2"/>
    <n v="4"/>
    <n v="168"/>
    <n v="0.56000000000000005"/>
    <n v="1"/>
    <x v="0"/>
  </r>
  <r>
    <n v="376"/>
    <d v="2023-01-29T00:00:00"/>
    <d v="1899-12-30T18:21:00"/>
    <n v="4"/>
    <x v="1"/>
    <x v="3"/>
    <x v="1"/>
    <n v="1"/>
    <n v="30"/>
    <n v="12"/>
    <n v="30"/>
    <x v="1"/>
    <n v="1"/>
    <x v="3"/>
    <n v="29"/>
    <x v="5"/>
    <n v="1"/>
    <n v="18"/>
    <n v="0.6"/>
    <n v="0"/>
    <x v="2"/>
  </r>
  <r>
    <n v="398"/>
    <d v="2023-02-23T00:00:00"/>
    <d v="1899-12-30T21:17:00"/>
    <n v="5"/>
    <x v="1"/>
    <x v="42"/>
    <x v="0"/>
    <n v="2"/>
    <n v="300"/>
    <n v="114"/>
    <n v="600"/>
    <x v="1"/>
    <n v="2"/>
    <x v="10"/>
    <n v="23"/>
    <x v="2"/>
    <n v="1"/>
    <n v="486"/>
    <n v="0.81"/>
    <n v="1"/>
    <x v="2"/>
  </r>
  <r>
    <n v="411"/>
    <d v="2023-07-25T00:00:00"/>
    <d v="1899-12-30T20:04:00"/>
    <n v="3"/>
    <x v="0"/>
    <x v="44"/>
    <x v="2"/>
    <n v="4"/>
    <n v="50"/>
    <n v="24.5"/>
    <n v="200"/>
    <x v="1"/>
    <n v="7"/>
    <x v="1"/>
    <n v="25"/>
    <x v="6"/>
    <n v="3"/>
    <n v="175.5"/>
    <n v="0.87749999999999995"/>
    <n v="1"/>
    <x v="1"/>
  </r>
  <r>
    <n v="504"/>
    <d v="2023-03-31T00:00:00"/>
    <d v="1899-12-30T18:07:00"/>
    <n v="4"/>
    <x v="1"/>
    <x v="9"/>
    <x v="1"/>
    <n v="3"/>
    <n v="50"/>
    <n v="22"/>
    <n v="150"/>
    <x v="1"/>
    <n v="3"/>
    <x v="8"/>
    <n v="31"/>
    <x v="3"/>
    <n v="1"/>
    <n v="128"/>
    <n v="0.85333333300000003"/>
    <n v="1"/>
    <x v="2"/>
  </r>
  <r>
    <n v="970"/>
    <d v="2023-05-25T00:00:00"/>
    <d v="1899-12-30T18:13:00"/>
    <n v="2"/>
    <x v="0"/>
    <x v="26"/>
    <x v="2"/>
    <n v="4"/>
    <n v="500"/>
    <n v="220"/>
    <n v="2000"/>
    <x v="1"/>
    <n v="5"/>
    <x v="7"/>
    <n v="25"/>
    <x v="2"/>
    <n v="2"/>
    <n v="1780"/>
    <n v="0.89"/>
    <n v="1"/>
    <x v="3"/>
  </r>
  <r>
    <n v="996"/>
    <d v="2023-07-03T00:00:00"/>
    <d v="1899-12-30T17:38:00"/>
    <n v="2"/>
    <x v="0"/>
    <x v="44"/>
    <x v="0"/>
    <n v="1"/>
    <n v="50"/>
    <n v="13.5"/>
    <n v="50"/>
    <x v="1"/>
    <n v="7"/>
    <x v="1"/>
    <n v="3"/>
    <x v="1"/>
    <n v="3"/>
    <n v="36.5"/>
    <n v="0.73"/>
    <n v="0"/>
    <x v="1"/>
  </r>
  <r>
    <n v="1048"/>
    <d v="2023-07-12T00:00:00"/>
    <d v="1899-12-30T19:14:00"/>
    <n v="3"/>
    <x v="0"/>
    <x v="29"/>
    <x v="2"/>
    <n v="3"/>
    <n v="300"/>
    <n v="93"/>
    <n v="900"/>
    <x v="1"/>
    <n v="7"/>
    <x v="1"/>
    <n v="12"/>
    <x v="4"/>
    <n v="3"/>
    <n v="807"/>
    <n v="0.89666666699999997"/>
    <n v="1"/>
    <x v="1"/>
  </r>
  <r>
    <n v="1118"/>
    <d v="2023-10-13T00:00:00"/>
    <d v="1899-12-30T17:24:00"/>
    <n v="1"/>
    <x v="1"/>
    <x v="7"/>
    <x v="2"/>
    <n v="4"/>
    <n v="500"/>
    <n v="170"/>
    <n v="2000"/>
    <x v="1"/>
    <n v="10"/>
    <x v="5"/>
    <n v="13"/>
    <x v="3"/>
    <n v="4"/>
    <n v="1830"/>
    <n v="0.91500000000000004"/>
    <n v="1"/>
    <x v="0"/>
  </r>
  <r>
    <n v="1203"/>
    <d v="2023-11-26T00:00:00"/>
    <d v="1899-12-30T18:36:00"/>
    <n v="2"/>
    <x v="0"/>
    <x v="34"/>
    <x v="0"/>
    <n v="2"/>
    <n v="500"/>
    <n v="145"/>
    <n v="1000"/>
    <x v="1"/>
    <n v="11"/>
    <x v="0"/>
    <n v="26"/>
    <x v="5"/>
    <n v="4"/>
    <n v="855"/>
    <n v="0.85499999999999998"/>
    <n v="1"/>
    <x v="0"/>
  </r>
  <r>
    <n v="1305"/>
    <d v="2023-04-05T00:00:00"/>
    <d v="1899-12-30T18:24:00"/>
    <n v="5"/>
    <x v="1"/>
    <x v="18"/>
    <x v="1"/>
    <n v="1"/>
    <n v="30"/>
    <n v="7.8"/>
    <n v="30"/>
    <x v="1"/>
    <n v="4"/>
    <x v="6"/>
    <n v="5"/>
    <x v="4"/>
    <n v="2"/>
    <n v="22.2"/>
    <n v="0.74"/>
    <n v="0"/>
    <x v="3"/>
  </r>
  <r>
    <n v="1358"/>
    <d v="2023-05-04T00:00:00"/>
    <d v="1899-12-30T21:40:00"/>
    <n v="5"/>
    <x v="1"/>
    <x v="37"/>
    <x v="1"/>
    <n v="1"/>
    <n v="300"/>
    <n v="156"/>
    <n v="300"/>
    <x v="1"/>
    <n v="5"/>
    <x v="7"/>
    <n v="4"/>
    <x v="2"/>
    <n v="2"/>
    <n v="144"/>
    <n v="0.48"/>
    <n v="1"/>
    <x v="3"/>
  </r>
  <r>
    <n v="1376"/>
    <d v="2023-07-15T00:00:00"/>
    <d v="1899-12-30T19:49:00"/>
    <n v="3"/>
    <x v="1"/>
    <x v="3"/>
    <x v="1"/>
    <n v="1"/>
    <n v="30"/>
    <n v="9.9"/>
    <n v="30"/>
    <x v="1"/>
    <n v="7"/>
    <x v="1"/>
    <n v="15"/>
    <x v="0"/>
    <n v="3"/>
    <n v="20.100000000000001"/>
    <n v="0.67"/>
    <n v="0"/>
    <x v="1"/>
  </r>
  <r>
    <n v="1398"/>
    <d v="2023-07-19T00:00:00"/>
    <d v="1899-12-30T17:20:00"/>
    <n v="1"/>
    <x v="1"/>
    <x v="42"/>
    <x v="0"/>
    <n v="2"/>
    <n v="300"/>
    <n v="120"/>
    <n v="600"/>
    <x v="1"/>
    <n v="7"/>
    <x v="1"/>
    <n v="19"/>
    <x v="4"/>
    <n v="3"/>
    <n v="480"/>
    <n v="0.8"/>
    <n v="1"/>
    <x v="1"/>
  </r>
  <r>
    <n v="1411"/>
    <d v="2023-11-24T00:00:00"/>
    <d v="1899-12-30T20:27:00"/>
    <n v="1"/>
    <x v="0"/>
    <x v="44"/>
    <x v="2"/>
    <n v="4"/>
    <n v="50"/>
    <n v="26"/>
    <n v="200"/>
    <x v="1"/>
    <n v="11"/>
    <x v="0"/>
    <n v="24"/>
    <x v="3"/>
    <n v="4"/>
    <n v="174"/>
    <n v="0.87"/>
    <n v="1"/>
    <x v="0"/>
  </r>
  <r>
    <n v="1504"/>
    <d v="2023-01-25T00:00:00"/>
    <d v="1899-12-30T17:01:00"/>
    <n v="4"/>
    <x v="1"/>
    <x v="9"/>
    <x v="1"/>
    <n v="3"/>
    <n v="50"/>
    <n v="25.5"/>
    <n v="150"/>
    <x v="1"/>
    <n v="1"/>
    <x v="3"/>
    <n v="25"/>
    <x v="4"/>
    <n v="1"/>
    <n v="124.5"/>
    <n v="0.83"/>
    <n v="1"/>
    <x v="2"/>
  </r>
  <r>
    <n v="1970"/>
    <d v="2023-05-22T00:00:00"/>
    <d v="1899-12-30T17:44:00"/>
    <n v="5"/>
    <x v="0"/>
    <x v="26"/>
    <x v="2"/>
    <n v="4"/>
    <n v="500"/>
    <n v="230"/>
    <n v="2000"/>
    <x v="1"/>
    <n v="5"/>
    <x v="7"/>
    <n v="22"/>
    <x v="1"/>
    <n v="2"/>
    <n v="1770"/>
    <n v="0.88500000000000001"/>
    <n v="1"/>
    <x v="3"/>
  </r>
  <r>
    <n v="1996"/>
    <d v="2023-12-07T00:00:00"/>
    <d v="1899-12-30T18:49:00"/>
    <n v="2"/>
    <x v="0"/>
    <x v="44"/>
    <x v="0"/>
    <n v="1"/>
    <n v="50"/>
    <n v="25"/>
    <n v="50"/>
    <x v="1"/>
    <n v="12"/>
    <x v="2"/>
    <n v="7"/>
    <x v="2"/>
    <n v="4"/>
    <n v="25"/>
    <n v="0.5"/>
    <n v="0"/>
    <x v="0"/>
  </r>
  <r>
    <n v="81"/>
    <d v="2023-06-07T00:00:00"/>
    <d v="1899-12-30T22:48:00"/>
    <n v="4"/>
    <x v="0"/>
    <x v="2"/>
    <x v="2"/>
    <n v="1"/>
    <n v="50"/>
    <n v="14.5"/>
    <n v="50"/>
    <x v="1"/>
    <n v="6"/>
    <x v="11"/>
    <n v="7"/>
    <x v="4"/>
    <n v="2"/>
    <n v="35.5"/>
    <n v="0.71"/>
    <n v="0"/>
    <x v="3"/>
  </r>
  <r>
    <n v="155"/>
    <d v="2023-07-18T00:00:00"/>
    <d v="1899-12-30T18:05:00"/>
    <n v="3"/>
    <x v="0"/>
    <x v="16"/>
    <x v="2"/>
    <n v="4"/>
    <n v="500"/>
    <n v="150"/>
    <n v="2000"/>
    <x v="1"/>
    <n v="7"/>
    <x v="1"/>
    <n v="18"/>
    <x v="6"/>
    <n v="3"/>
    <n v="1850"/>
    <n v="0.92500000000000004"/>
    <n v="1"/>
    <x v="1"/>
  </r>
  <r>
    <n v="470"/>
    <d v="2023-12-26T00:00:00"/>
    <d v="1899-12-30T18:58:00"/>
    <n v="4"/>
    <x v="1"/>
    <x v="10"/>
    <x v="0"/>
    <n v="2"/>
    <n v="500"/>
    <n v="165"/>
    <n v="1000"/>
    <x v="1"/>
    <n v="12"/>
    <x v="2"/>
    <n v="26"/>
    <x v="6"/>
    <n v="4"/>
    <n v="835"/>
    <n v="0.83499999999999996"/>
    <n v="1"/>
    <x v="0"/>
  </r>
  <r>
    <n v="1081"/>
    <d v="2023-06-27T00:00:00"/>
    <d v="1899-12-30T22:23:00"/>
    <n v="5"/>
    <x v="0"/>
    <x v="2"/>
    <x v="2"/>
    <n v="1"/>
    <n v="50"/>
    <n v="17"/>
    <n v="50"/>
    <x v="1"/>
    <n v="6"/>
    <x v="11"/>
    <n v="27"/>
    <x v="6"/>
    <n v="2"/>
    <n v="33"/>
    <n v="0.66"/>
    <n v="0"/>
    <x v="3"/>
  </r>
  <r>
    <n v="1155"/>
    <d v="2023-12-03T00:00:00"/>
    <d v="1899-12-30T18:22:00"/>
    <n v="3"/>
    <x v="0"/>
    <x v="16"/>
    <x v="2"/>
    <n v="4"/>
    <n v="500"/>
    <n v="255"/>
    <n v="2000"/>
    <x v="1"/>
    <n v="12"/>
    <x v="2"/>
    <n v="3"/>
    <x v="5"/>
    <n v="4"/>
    <n v="1745"/>
    <n v="0.87250000000000005"/>
    <n v="1"/>
    <x v="0"/>
  </r>
  <r>
    <n v="1470"/>
    <d v="2023-06-26T00:00:00"/>
    <d v="1899-12-30T19:47:00"/>
    <n v="1"/>
    <x v="1"/>
    <x v="10"/>
    <x v="0"/>
    <n v="2"/>
    <n v="500"/>
    <n v="165"/>
    <n v="1000"/>
    <x v="1"/>
    <n v="6"/>
    <x v="11"/>
    <n v="26"/>
    <x v="1"/>
    <n v="2"/>
    <n v="835"/>
    <n v="0.83499999999999996"/>
    <n v="1"/>
    <x v="3"/>
  </r>
  <r>
    <n v="106"/>
    <d v="2023-05-17T00:00:00"/>
    <d v="1899-12-30T18:58:00"/>
    <n v="1"/>
    <x v="1"/>
    <x v="1"/>
    <x v="0"/>
    <n v="1"/>
    <n v="50"/>
    <n v="15"/>
    <n v="50"/>
    <x v="1"/>
    <n v="5"/>
    <x v="7"/>
    <n v="17"/>
    <x v="4"/>
    <n v="2"/>
    <n v="35"/>
    <n v="0.7"/>
    <n v="0"/>
    <x v="3"/>
  </r>
  <r>
    <n v="818"/>
    <d v="2023-05-29T00:00:00"/>
    <d v="1899-12-30T18:56:00"/>
    <n v="4"/>
    <x v="0"/>
    <x v="7"/>
    <x v="2"/>
    <n v="1"/>
    <n v="500"/>
    <n v="265"/>
    <n v="500"/>
    <x v="1"/>
    <n v="5"/>
    <x v="7"/>
    <n v="29"/>
    <x v="1"/>
    <n v="2"/>
    <n v="235"/>
    <n v="0.47"/>
    <n v="1"/>
    <x v="3"/>
  </r>
  <r>
    <n v="1106"/>
    <d v="2023-08-12T00:00:00"/>
    <d v="1899-12-30T17:50:00"/>
    <n v="3"/>
    <x v="1"/>
    <x v="1"/>
    <x v="0"/>
    <n v="1"/>
    <n v="50"/>
    <n v="14"/>
    <n v="50"/>
    <x v="1"/>
    <n v="8"/>
    <x v="4"/>
    <n v="12"/>
    <x v="0"/>
    <n v="3"/>
    <n v="36"/>
    <n v="0.72"/>
    <n v="0"/>
    <x v="1"/>
  </r>
  <r>
    <n v="1818"/>
    <d v="2023-09-20T00:00:00"/>
    <d v="1899-12-30T17:29:00"/>
    <n v="4"/>
    <x v="0"/>
    <x v="7"/>
    <x v="2"/>
    <n v="1"/>
    <n v="500"/>
    <n v="150"/>
    <n v="500"/>
    <x v="1"/>
    <n v="9"/>
    <x v="9"/>
    <n v="20"/>
    <x v="4"/>
    <n v="3"/>
    <n v="350"/>
    <n v="0.7"/>
    <n v="1"/>
    <x v="1"/>
  </r>
  <r>
    <n v="94"/>
    <d v="2023-03-13T00:00:00"/>
    <d v="1899-12-30T22:39:00"/>
    <n v="5"/>
    <x v="1"/>
    <x v="35"/>
    <x v="1"/>
    <n v="2"/>
    <n v="500"/>
    <n v="250"/>
    <n v="1000"/>
    <x v="1"/>
    <n v="3"/>
    <x v="8"/>
    <n v="13"/>
    <x v="1"/>
    <n v="1"/>
    <n v="750"/>
    <n v="0.75"/>
    <n v="1"/>
    <x v="2"/>
  </r>
  <r>
    <n v="811"/>
    <d v="2023-04-15T00:00:00"/>
    <d v="1899-12-30T18:34:00"/>
    <n v="2"/>
    <x v="0"/>
    <x v="45"/>
    <x v="1"/>
    <n v="2"/>
    <n v="25"/>
    <n v="6.75"/>
    <n v="50"/>
    <x v="1"/>
    <n v="4"/>
    <x v="6"/>
    <n v="15"/>
    <x v="0"/>
    <n v="2"/>
    <n v="43.25"/>
    <n v="0.86499999999999999"/>
    <n v="0"/>
    <x v="3"/>
  </r>
  <r>
    <n v="881"/>
    <d v="2023-12-21T00:00:00"/>
    <d v="1899-12-30T20:52:00"/>
    <n v="4"/>
    <x v="0"/>
    <x v="30"/>
    <x v="2"/>
    <n v="1"/>
    <n v="300"/>
    <n v="99"/>
    <n v="300"/>
    <x v="1"/>
    <n v="12"/>
    <x v="2"/>
    <n v="21"/>
    <x v="2"/>
    <n v="4"/>
    <n v="201"/>
    <n v="0.67"/>
    <n v="1"/>
    <x v="0"/>
  </r>
  <r>
    <n v="1094"/>
    <d v="2023-06-15T00:00:00"/>
    <d v="1899-12-30T20:34:00"/>
    <n v="1"/>
    <x v="1"/>
    <x v="35"/>
    <x v="1"/>
    <n v="2"/>
    <n v="500"/>
    <n v="210"/>
    <n v="1000"/>
    <x v="1"/>
    <n v="6"/>
    <x v="11"/>
    <n v="15"/>
    <x v="2"/>
    <n v="2"/>
    <n v="790"/>
    <n v="0.79"/>
    <n v="1"/>
    <x v="3"/>
  </r>
  <r>
    <n v="1811"/>
    <d v="2023-12-09T00:00:00"/>
    <d v="1899-12-30T21:58:00"/>
    <n v="5"/>
    <x v="0"/>
    <x v="45"/>
    <x v="1"/>
    <n v="2"/>
    <n v="25"/>
    <n v="8.5"/>
    <n v="50"/>
    <x v="1"/>
    <n v="12"/>
    <x v="2"/>
    <n v="9"/>
    <x v="0"/>
    <n v="4"/>
    <n v="41.5"/>
    <n v="0.83"/>
    <n v="0"/>
    <x v="0"/>
  </r>
  <r>
    <n v="1881"/>
    <d v="2023-07-11T00:00:00"/>
    <d v="1899-12-30T17:23:00"/>
    <n v="5"/>
    <x v="0"/>
    <x v="30"/>
    <x v="2"/>
    <n v="1"/>
    <n v="300"/>
    <n v="147"/>
    <n v="300"/>
    <x v="1"/>
    <n v="7"/>
    <x v="1"/>
    <n v="11"/>
    <x v="6"/>
    <n v="3"/>
    <n v="153"/>
    <n v="0.51"/>
    <n v="1"/>
    <x v="1"/>
  </r>
  <r>
    <n v="403"/>
    <d v="2023-04-22T00:00:00"/>
    <d v="1899-12-30T19:31:00"/>
    <n v="5"/>
    <x v="0"/>
    <x v="37"/>
    <x v="0"/>
    <n v="2"/>
    <n v="300"/>
    <n v="78"/>
    <n v="600"/>
    <x v="1"/>
    <n v="4"/>
    <x v="6"/>
    <n v="22"/>
    <x v="0"/>
    <n v="2"/>
    <n v="522"/>
    <n v="0.87"/>
    <n v="1"/>
    <x v="3"/>
  </r>
  <r>
    <n v="653"/>
    <d v="2023-11-25T00:00:00"/>
    <d v="1899-12-30T22:53:00"/>
    <n v="3"/>
    <x v="0"/>
    <x v="29"/>
    <x v="0"/>
    <n v="3"/>
    <n v="25"/>
    <n v="9.25"/>
    <n v="75"/>
    <x v="1"/>
    <n v="11"/>
    <x v="0"/>
    <n v="25"/>
    <x v="0"/>
    <n v="4"/>
    <n v="65.75"/>
    <n v="0.87666666699999996"/>
    <n v="0"/>
    <x v="0"/>
  </r>
  <r>
    <n v="694"/>
    <d v="2023-06-30T00:00:00"/>
    <d v="1899-12-30T17:47:00"/>
    <n v="3"/>
    <x v="1"/>
    <x v="27"/>
    <x v="2"/>
    <n v="2"/>
    <n v="25"/>
    <n v="10"/>
    <n v="50"/>
    <x v="1"/>
    <n v="6"/>
    <x v="11"/>
    <n v="30"/>
    <x v="3"/>
    <n v="2"/>
    <n v="40"/>
    <n v="0.8"/>
    <n v="0"/>
    <x v="3"/>
  </r>
  <r>
    <n v="1403"/>
    <d v="2023-03-25T00:00:00"/>
    <d v="1899-12-30T18:20:00"/>
    <n v="4"/>
    <x v="0"/>
    <x v="37"/>
    <x v="0"/>
    <n v="2"/>
    <n v="300"/>
    <n v="162"/>
    <n v="600"/>
    <x v="1"/>
    <n v="3"/>
    <x v="8"/>
    <n v="25"/>
    <x v="0"/>
    <n v="1"/>
    <n v="438"/>
    <n v="0.73"/>
    <n v="1"/>
    <x v="2"/>
  </r>
  <r>
    <n v="1653"/>
    <d v="2023-07-23T00:00:00"/>
    <d v="1899-12-30T19:34:00"/>
    <n v="2"/>
    <x v="0"/>
    <x v="29"/>
    <x v="0"/>
    <n v="3"/>
    <n v="25"/>
    <n v="12.75"/>
    <n v="75"/>
    <x v="1"/>
    <n v="7"/>
    <x v="1"/>
    <n v="23"/>
    <x v="5"/>
    <n v="3"/>
    <n v="62.25"/>
    <n v="0.83"/>
    <n v="0"/>
    <x v="1"/>
  </r>
  <r>
    <n v="1694"/>
    <d v="2023-01-10T00:00:00"/>
    <d v="1899-12-30T19:22:00"/>
    <n v="4"/>
    <x v="1"/>
    <x v="27"/>
    <x v="2"/>
    <n v="2"/>
    <n v="25"/>
    <n v="9.75"/>
    <n v="50"/>
    <x v="1"/>
    <n v="1"/>
    <x v="3"/>
    <n v="10"/>
    <x v="6"/>
    <n v="1"/>
    <n v="40.25"/>
    <n v="0.80500000000000005"/>
    <n v="0"/>
    <x v="2"/>
  </r>
  <r>
    <n v="4"/>
    <d v="2023-08-27T00:00:00"/>
    <d v="1899-12-30T18:12:00"/>
    <n v="3"/>
    <x v="0"/>
    <x v="5"/>
    <x v="0"/>
    <n v="1"/>
    <n v="500"/>
    <n v="200"/>
    <n v="500"/>
    <x v="1"/>
    <n v="8"/>
    <x v="4"/>
    <n v="27"/>
    <x v="5"/>
    <n v="3"/>
    <n v="300"/>
    <n v="0.6"/>
    <n v="1"/>
    <x v="1"/>
  </r>
  <r>
    <n v="647"/>
    <d v="2023-03-01T00:00:00"/>
    <d v="1899-12-30T19:53:00"/>
    <n v="5"/>
    <x v="0"/>
    <x v="26"/>
    <x v="0"/>
    <n v="3"/>
    <n v="500"/>
    <n v="190"/>
    <n v="1500"/>
    <x v="1"/>
    <n v="3"/>
    <x v="8"/>
    <n v="1"/>
    <x v="4"/>
    <n v="1"/>
    <n v="1310"/>
    <n v="0.87333333300000004"/>
    <n v="1"/>
    <x v="2"/>
  </r>
  <r>
    <n v="911"/>
    <d v="2023-07-15T00:00:00"/>
    <d v="1899-12-30T17:29:00"/>
    <n v="3"/>
    <x v="0"/>
    <x v="25"/>
    <x v="2"/>
    <n v="3"/>
    <n v="300"/>
    <n v="84"/>
    <n v="900"/>
    <x v="1"/>
    <n v="7"/>
    <x v="1"/>
    <n v="15"/>
    <x v="0"/>
    <n v="3"/>
    <n v="816"/>
    <n v="0.90666666699999998"/>
    <n v="1"/>
    <x v="1"/>
  </r>
  <r>
    <n v="1004"/>
    <d v="2023-01-11T00:00:00"/>
    <d v="1899-12-30T21:46:00"/>
    <n v="2"/>
    <x v="0"/>
    <x v="5"/>
    <x v="0"/>
    <n v="1"/>
    <n v="500"/>
    <n v="230"/>
    <n v="500"/>
    <x v="1"/>
    <n v="1"/>
    <x v="3"/>
    <n v="11"/>
    <x v="4"/>
    <n v="1"/>
    <n v="270"/>
    <n v="0.54"/>
    <n v="1"/>
    <x v="2"/>
  </r>
  <r>
    <n v="1647"/>
    <d v="2023-05-01T00:00:00"/>
    <d v="1899-12-30T20:26:00"/>
    <n v="5"/>
    <x v="0"/>
    <x v="26"/>
    <x v="0"/>
    <n v="3"/>
    <n v="500"/>
    <n v="240"/>
    <n v="1500"/>
    <x v="1"/>
    <n v="5"/>
    <x v="7"/>
    <n v="1"/>
    <x v="1"/>
    <n v="2"/>
    <n v="1260"/>
    <n v="0.84"/>
    <n v="1"/>
    <x v="3"/>
  </r>
  <r>
    <n v="1911"/>
    <d v="2023-12-13T00:00:00"/>
    <d v="1899-12-30T18:33:00"/>
    <n v="4"/>
    <x v="0"/>
    <x v="25"/>
    <x v="2"/>
    <n v="3"/>
    <n v="300"/>
    <n v="75"/>
    <n v="900"/>
    <x v="1"/>
    <n v="12"/>
    <x v="2"/>
    <n v="13"/>
    <x v="4"/>
    <n v="4"/>
    <n v="825"/>
    <n v="0.91666666699999999"/>
    <n v="1"/>
    <x v="0"/>
  </r>
  <r>
    <n v="419"/>
    <d v="2023-03-31T00:00:00"/>
    <d v="1899-12-30T19:18:00"/>
    <n v="5"/>
    <x v="1"/>
    <x v="47"/>
    <x v="0"/>
    <n v="3"/>
    <n v="30"/>
    <n v="11.7"/>
    <n v="90"/>
    <x v="1"/>
    <n v="3"/>
    <x v="8"/>
    <n v="31"/>
    <x v="3"/>
    <n v="1"/>
    <n v="78.3"/>
    <n v="0.87"/>
    <n v="0"/>
    <x v="2"/>
  </r>
  <r>
    <n v="642"/>
    <d v="2023-05-04T00:00:00"/>
    <d v="1899-12-30T21:40:00"/>
    <n v="1"/>
    <x v="1"/>
    <x v="29"/>
    <x v="0"/>
    <n v="4"/>
    <n v="25"/>
    <n v="12"/>
    <n v="100"/>
    <x v="1"/>
    <n v="5"/>
    <x v="7"/>
    <n v="4"/>
    <x v="2"/>
    <n v="2"/>
    <n v="88"/>
    <n v="0.88"/>
    <n v="0"/>
    <x v="3"/>
  </r>
  <r>
    <n v="843"/>
    <d v="2023-01-25T00:00:00"/>
    <d v="1899-12-30T22:46:00"/>
    <n v="3"/>
    <x v="0"/>
    <x v="40"/>
    <x v="1"/>
    <n v="3"/>
    <n v="500"/>
    <n v="180"/>
    <n v="1500"/>
    <x v="1"/>
    <n v="1"/>
    <x v="3"/>
    <n v="25"/>
    <x v="4"/>
    <n v="1"/>
    <n v="1320"/>
    <n v="0.88"/>
    <n v="1"/>
    <x v="2"/>
  </r>
  <r>
    <n v="895"/>
    <d v="2023-08-31T00:00:00"/>
    <d v="1899-12-30T21:51:00"/>
    <n v="3"/>
    <x v="1"/>
    <x v="46"/>
    <x v="0"/>
    <n v="4"/>
    <n v="30"/>
    <n v="14.4"/>
    <n v="120"/>
    <x v="1"/>
    <n v="8"/>
    <x v="4"/>
    <n v="31"/>
    <x v="2"/>
    <n v="3"/>
    <n v="105.6"/>
    <n v="0.88"/>
    <n v="0"/>
    <x v="1"/>
  </r>
  <r>
    <n v="1419"/>
    <d v="2023-02-05T00:00:00"/>
    <d v="1899-12-30T18:42:00"/>
    <n v="3"/>
    <x v="1"/>
    <x v="47"/>
    <x v="0"/>
    <n v="3"/>
    <n v="30"/>
    <n v="9.3000000000000007"/>
    <n v="90"/>
    <x v="1"/>
    <n v="2"/>
    <x v="10"/>
    <n v="5"/>
    <x v="5"/>
    <n v="1"/>
    <n v="80.7"/>
    <n v="0.89666666699999997"/>
    <n v="0"/>
    <x v="2"/>
  </r>
  <r>
    <n v="1642"/>
    <d v="2023-12-27T00:00:00"/>
    <d v="1899-12-30T18:30:00"/>
    <n v="4"/>
    <x v="1"/>
    <x v="29"/>
    <x v="0"/>
    <n v="4"/>
    <n v="25"/>
    <n v="11.5"/>
    <n v="100"/>
    <x v="1"/>
    <n v="12"/>
    <x v="2"/>
    <n v="27"/>
    <x v="4"/>
    <n v="4"/>
    <n v="88.5"/>
    <n v="0.88500000000000001"/>
    <n v="0"/>
    <x v="0"/>
  </r>
  <r>
    <n v="1843"/>
    <d v="2023-09-21T00:00:00"/>
    <d v="1899-12-30T18:58:00"/>
    <n v="1"/>
    <x v="0"/>
    <x v="40"/>
    <x v="1"/>
    <n v="3"/>
    <n v="500"/>
    <n v="240"/>
    <n v="1500"/>
    <x v="1"/>
    <n v="9"/>
    <x v="9"/>
    <n v="21"/>
    <x v="2"/>
    <n v="3"/>
    <n v="1260"/>
    <n v="0.84"/>
    <n v="1"/>
    <x v="1"/>
  </r>
  <r>
    <n v="1895"/>
    <d v="2023-03-27T00:00:00"/>
    <d v="1899-12-30T20:59:00"/>
    <n v="4"/>
    <x v="1"/>
    <x v="46"/>
    <x v="0"/>
    <n v="4"/>
    <n v="30"/>
    <n v="15.3"/>
    <n v="120"/>
    <x v="1"/>
    <n v="3"/>
    <x v="8"/>
    <n v="27"/>
    <x v="1"/>
    <n v="1"/>
    <n v="104.7"/>
    <n v="0.87250000000000005"/>
    <n v="0"/>
    <x v="2"/>
  </r>
  <r>
    <n v="31"/>
    <d v="2023-12-31T00:00:00"/>
    <d v="1899-12-30T17:47:00"/>
    <n v="3"/>
    <x v="0"/>
    <x v="47"/>
    <x v="2"/>
    <n v="4"/>
    <n v="300"/>
    <n v="129"/>
    <n v="1200"/>
    <x v="1"/>
    <n v="12"/>
    <x v="2"/>
    <n v="31"/>
    <x v="5"/>
    <n v="4"/>
    <n v="1071"/>
    <n v="0.89249999999999996"/>
    <n v="1"/>
    <x v="0"/>
  </r>
  <r>
    <n v="37"/>
    <d v="2023-05-26T00:00:00"/>
    <d v="1899-12-30T22:42:00"/>
    <n v="2"/>
    <x v="1"/>
    <x v="18"/>
    <x v="1"/>
    <n v="3"/>
    <n v="25"/>
    <n v="8.75"/>
    <n v="75"/>
    <x v="1"/>
    <n v="5"/>
    <x v="7"/>
    <n v="26"/>
    <x v="3"/>
    <n v="2"/>
    <n v="66.25"/>
    <n v="0.88333333300000005"/>
    <n v="0"/>
    <x v="3"/>
  </r>
  <r>
    <n v="72"/>
    <d v="2023-12-06T00:00:00"/>
    <d v="1899-12-30T19:19:00"/>
    <n v="5"/>
    <x v="1"/>
    <x v="36"/>
    <x v="2"/>
    <n v="4"/>
    <n v="500"/>
    <n v="195"/>
    <n v="2000"/>
    <x v="1"/>
    <n v="12"/>
    <x v="2"/>
    <n v="6"/>
    <x v="4"/>
    <n v="4"/>
    <n v="1805"/>
    <n v="0.90249999999999997"/>
    <n v="1"/>
    <x v="0"/>
  </r>
  <r>
    <n v="243"/>
    <d v="2023-06-24T00:00:00"/>
    <d v="1899-12-30T18:02:00"/>
    <n v="5"/>
    <x v="1"/>
    <x v="35"/>
    <x v="2"/>
    <n v="3"/>
    <n v="300"/>
    <n v="156"/>
    <n v="900"/>
    <x v="1"/>
    <n v="6"/>
    <x v="11"/>
    <n v="24"/>
    <x v="0"/>
    <n v="2"/>
    <n v="744"/>
    <n v="0.82666666700000002"/>
    <n v="1"/>
    <x v="3"/>
  </r>
  <r>
    <n v="281"/>
    <d v="2023-09-18T00:00:00"/>
    <d v="1899-12-30T20:09:00"/>
    <n v="4"/>
    <x v="1"/>
    <x v="33"/>
    <x v="1"/>
    <n v="4"/>
    <n v="500"/>
    <n v="275"/>
    <n v="2000"/>
    <x v="1"/>
    <n v="9"/>
    <x v="9"/>
    <n v="18"/>
    <x v="1"/>
    <n v="3"/>
    <n v="1725"/>
    <n v="0.86250000000000004"/>
    <n v="1"/>
    <x v="1"/>
  </r>
  <r>
    <n v="489"/>
    <d v="2023-10-31T00:00:00"/>
    <d v="1899-12-30T22:01:00"/>
    <n v="1"/>
    <x v="0"/>
    <x v="47"/>
    <x v="2"/>
    <n v="1"/>
    <n v="30"/>
    <n v="14.4"/>
    <n v="30"/>
    <x v="1"/>
    <n v="10"/>
    <x v="5"/>
    <n v="31"/>
    <x v="6"/>
    <n v="4"/>
    <n v="15.6"/>
    <n v="0.52"/>
    <n v="0"/>
    <x v="0"/>
  </r>
  <r>
    <n v="491"/>
    <d v="2023-12-30T00:00:00"/>
    <d v="1899-12-30T21:11:00"/>
    <n v="4"/>
    <x v="1"/>
    <x v="13"/>
    <x v="2"/>
    <n v="3"/>
    <n v="300"/>
    <n v="78"/>
    <n v="900"/>
    <x v="1"/>
    <n v="12"/>
    <x v="2"/>
    <n v="30"/>
    <x v="0"/>
    <n v="4"/>
    <n v="822"/>
    <n v="0.91333333299999997"/>
    <n v="1"/>
    <x v="0"/>
  </r>
  <r>
    <n v="729"/>
    <d v="2023-08-26T00:00:00"/>
    <d v="1899-12-30T22:29:00"/>
    <n v="3"/>
    <x v="0"/>
    <x v="33"/>
    <x v="0"/>
    <n v="4"/>
    <n v="300"/>
    <n v="84"/>
    <n v="1200"/>
    <x v="1"/>
    <n v="8"/>
    <x v="4"/>
    <n v="26"/>
    <x v="0"/>
    <n v="3"/>
    <n v="1116"/>
    <n v="0.93"/>
    <n v="1"/>
    <x v="1"/>
  </r>
  <r>
    <n v="822"/>
    <d v="2023-02-16T00:00:00"/>
    <d v="1899-12-30T17:39:00"/>
    <n v="3"/>
    <x v="1"/>
    <x v="41"/>
    <x v="1"/>
    <n v="3"/>
    <n v="50"/>
    <n v="13.5"/>
    <n v="150"/>
    <x v="1"/>
    <n v="2"/>
    <x v="10"/>
    <n v="16"/>
    <x v="2"/>
    <n v="1"/>
    <n v="136.5"/>
    <n v="0.91"/>
    <n v="1"/>
    <x v="2"/>
  </r>
  <r>
    <n v="1031"/>
    <d v="2023-11-12T00:00:00"/>
    <d v="1899-12-30T21:15:00"/>
    <n v="3"/>
    <x v="0"/>
    <x v="47"/>
    <x v="2"/>
    <n v="4"/>
    <n v="300"/>
    <n v="126"/>
    <n v="1200"/>
    <x v="1"/>
    <n v="11"/>
    <x v="0"/>
    <n v="12"/>
    <x v="5"/>
    <n v="4"/>
    <n v="1074"/>
    <n v="0.89500000000000002"/>
    <n v="1"/>
    <x v="0"/>
  </r>
  <r>
    <n v="1037"/>
    <d v="2023-10-17T00:00:00"/>
    <d v="1899-12-30T17:38:00"/>
    <n v="2"/>
    <x v="1"/>
    <x v="18"/>
    <x v="1"/>
    <n v="3"/>
    <n v="25"/>
    <n v="11.5"/>
    <n v="75"/>
    <x v="1"/>
    <n v="10"/>
    <x v="5"/>
    <n v="17"/>
    <x v="6"/>
    <n v="4"/>
    <n v="63.5"/>
    <n v="0.84666666700000004"/>
    <n v="0"/>
    <x v="0"/>
  </r>
  <r>
    <n v="1072"/>
    <d v="2023-02-24T00:00:00"/>
    <d v="1899-12-30T18:10:00"/>
    <n v="4"/>
    <x v="1"/>
    <x v="36"/>
    <x v="2"/>
    <n v="4"/>
    <n v="500"/>
    <n v="180"/>
    <n v="2000"/>
    <x v="1"/>
    <n v="2"/>
    <x v="10"/>
    <n v="24"/>
    <x v="3"/>
    <n v="1"/>
    <n v="1820"/>
    <n v="0.91"/>
    <n v="1"/>
    <x v="2"/>
  </r>
  <r>
    <n v="1243"/>
    <d v="2023-12-08T00:00:00"/>
    <d v="1899-12-30T17:11:00"/>
    <n v="4"/>
    <x v="1"/>
    <x v="35"/>
    <x v="2"/>
    <n v="3"/>
    <n v="300"/>
    <n v="138"/>
    <n v="900"/>
    <x v="1"/>
    <n v="12"/>
    <x v="2"/>
    <n v="8"/>
    <x v="3"/>
    <n v="4"/>
    <n v="762"/>
    <n v="0.84666666700000004"/>
    <n v="1"/>
    <x v="0"/>
  </r>
  <r>
    <n v="1281"/>
    <d v="2023-03-14T00:00:00"/>
    <d v="1899-12-30T19:34:00"/>
    <n v="4"/>
    <x v="1"/>
    <x v="33"/>
    <x v="1"/>
    <n v="4"/>
    <n v="500"/>
    <n v="165"/>
    <n v="2000"/>
    <x v="1"/>
    <n v="3"/>
    <x v="8"/>
    <n v="14"/>
    <x v="6"/>
    <n v="1"/>
    <n v="1835"/>
    <n v="0.91749999999999998"/>
    <n v="1"/>
    <x v="2"/>
  </r>
  <r>
    <n v="1489"/>
    <d v="2023-04-28T00:00:00"/>
    <d v="1899-12-30T18:30:00"/>
    <n v="2"/>
    <x v="0"/>
    <x v="47"/>
    <x v="2"/>
    <n v="1"/>
    <n v="30"/>
    <n v="10.5"/>
    <n v="30"/>
    <x v="1"/>
    <n v="4"/>
    <x v="6"/>
    <n v="28"/>
    <x v="3"/>
    <n v="2"/>
    <n v="19.5"/>
    <n v="0.65"/>
    <n v="0"/>
    <x v="3"/>
  </r>
  <r>
    <n v="1491"/>
    <d v="2023-05-26T00:00:00"/>
    <d v="1899-12-30T22:14:00"/>
    <n v="107"/>
    <x v="1"/>
    <x v="13"/>
    <x v="2"/>
    <n v="3"/>
    <n v="300"/>
    <n v="129"/>
    <n v="900"/>
    <x v="1"/>
    <n v="5"/>
    <x v="7"/>
    <n v="26"/>
    <x v="3"/>
    <n v="2"/>
    <n v="771"/>
    <n v="0.85666666700000005"/>
    <n v="1"/>
    <x v="3"/>
  </r>
  <r>
    <n v="1729"/>
    <d v="2023-11-22T00:00:00"/>
    <d v="1899-12-30T18:55:00"/>
    <n v="82"/>
    <x v="0"/>
    <x v="33"/>
    <x v="0"/>
    <n v="4"/>
    <n v="300"/>
    <n v="81"/>
    <n v="1200"/>
    <x v="1"/>
    <n v="11"/>
    <x v="0"/>
    <n v="22"/>
    <x v="4"/>
    <n v="4"/>
    <n v="1119"/>
    <n v="0.9325"/>
    <n v="1"/>
    <x v="0"/>
  </r>
  <r>
    <n v="1822"/>
    <d v="2023-09-09T00:00:00"/>
    <d v="1899-12-30T17:15:00"/>
    <n v="15"/>
    <x v="1"/>
    <x v="41"/>
    <x v="1"/>
    <n v="3"/>
    <n v="50"/>
    <n v="21"/>
    <n v="150"/>
    <x v="1"/>
    <n v="9"/>
    <x v="9"/>
    <n v="9"/>
    <x v="0"/>
    <n v="3"/>
    <n v="129"/>
    <n v="0.86"/>
    <n v="1"/>
    <x v="1"/>
  </r>
  <r>
    <n v="840"/>
    <d v="2023-07-01T00:00:00"/>
    <d v="1899-12-30T18:59:00"/>
    <n v="60"/>
    <x v="0"/>
    <x v="44"/>
    <x v="0"/>
    <n v="2"/>
    <n v="25"/>
    <n v="11.75"/>
    <n v="50"/>
    <x v="1"/>
    <n v="7"/>
    <x v="1"/>
    <n v="1"/>
    <x v="0"/>
    <n v="3"/>
    <n v="38.25"/>
    <n v="0.76500000000000001"/>
    <n v="0"/>
    <x v="1"/>
  </r>
  <r>
    <n v="1840"/>
    <d v="2023-05-12T00:00:00"/>
    <d v="1899-12-30T20:22:00"/>
    <n v="138"/>
    <x v="0"/>
    <x v="44"/>
    <x v="0"/>
    <n v="2"/>
    <n v="25"/>
    <n v="11"/>
    <n v="50"/>
    <x v="1"/>
    <n v="5"/>
    <x v="7"/>
    <n v="12"/>
    <x v="3"/>
    <n v="2"/>
    <n v="39"/>
    <n v="0.78"/>
    <n v="0"/>
    <x v="3"/>
  </r>
  <r>
    <n v="404"/>
    <d v="2023-02-13T00:00:00"/>
    <d v="1899-12-30T19:55:00"/>
    <n v="59"/>
    <x v="0"/>
    <x v="1"/>
    <x v="2"/>
    <n v="2"/>
    <n v="500"/>
    <n v="160"/>
    <n v="1000"/>
    <x v="1"/>
    <n v="2"/>
    <x v="10"/>
    <n v="13"/>
    <x v="1"/>
    <n v="1"/>
    <n v="840"/>
    <n v="0.84"/>
    <n v="1"/>
    <x v="2"/>
  </r>
  <r>
    <n v="899"/>
    <d v="2023-05-22T00:00:00"/>
    <d v="1899-12-30T21:34:00"/>
    <n v="147"/>
    <x v="0"/>
    <x v="6"/>
    <x v="0"/>
    <n v="2"/>
    <n v="300"/>
    <n v="153"/>
    <n v="600"/>
    <x v="1"/>
    <n v="5"/>
    <x v="7"/>
    <n v="22"/>
    <x v="1"/>
    <n v="2"/>
    <n v="447"/>
    <n v="0.745"/>
    <n v="1"/>
    <x v="3"/>
  </r>
  <r>
    <n v="990"/>
    <d v="2023-03-29T00:00:00"/>
    <d v="1899-12-30T21:45:00"/>
    <n v="68"/>
    <x v="1"/>
    <x v="43"/>
    <x v="1"/>
    <n v="2"/>
    <n v="500"/>
    <n v="235"/>
    <n v="1000"/>
    <x v="1"/>
    <n v="3"/>
    <x v="8"/>
    <n v="29"/>
    <x v="4"/>
    <n v="1"/>
    <n v="765"/>
    <n v="0.76500000000000001"/>
    <n v="1"/>
    <x v="2"/>
  </r>
  <r>
    <n v="1404"/>
    <d v="2023-08-20T00:00:00"/>
    <d v="1899-12-30T18:15:00"/>
    <n v="155"/>
    <x v="0"/>
    <x v="1"/>
    <x v="2"/>
    <n v="2"/>
    <n v="500"/>
    <n v="185"/>
    <n v="1000"/>
    <x v="1"/>
    <n v="8"/>
    <x v="4"/>
    <n v="20"/>
    <x v="5"/>
    <n v="3"/>
    <n v="815"/>
    <n v="0.81499999999999995"/>
    <n v="1"/>
    <x v="1"/>
  </r>
  <r>
    <n v="1899"/>
    <d v="2023-05-03T00:00:00"/>
    <d v="1899-12-30T21:03:00"/>
    <n v="51"/>
    <x v="0"/>
    <x v="6"/>
    <x v="0"/>
    <n v="2"/>
    <n v="300"/>
    <n v="99"/>
    <n v="600"/>
    <x v="1"/>
    <n v="5"/>
    <x v="7"/>
    <n v="3"/>
    <x v="4"/>
    <n v="2"/>
    <n v="501"/>
    <n v="0.83499999999999996"/>
    <n v="1"/>
    <x v="3"/>
  </r>
  <r>
    <n v="1990"/>
    <d v="2023-11-22T00:00:00"/>
    <d v="1899-12-30T17:02:00"/>
    <n v="48"/>
    <x v="1"/>
    <x v="43"/>
    <x v="1"/>
    <n v="2"/>
    <n v="500"/>
    <n v="155"/>
    <n v="1000"/>
    <x v="1"/>
    <n v="11"/>
    <x v="0"/>
    <n v="22"/>
    <x v="4"/>
    <n v="4"/>
    <n v="845"/>
    <n v="0.84499999999999997"/>
    <n v="1"/>
    <x v="0"/>
  </r>
  <r>
    <n v="382"/>
    <d v="2023-07-14T00:00:00"/>
    <d v="1899-12-30T21:20:00"/>
    <n v="29"/>
    <x v="1"/>
    <x v="21"/>
    <x v="0"/>
    <n v="2"/>
    <n v="500"/>
    <n v="245"/>
    <n v="1000"/>
    <x v="1"/>
    <n v="7"/>
    <x v="1"/>
    <n v="14"/>
    <x v="3"/>
    <n v="3"/>
    <n v="755"/>
    <n v="0.755"/>
    <n v="1"/>
    <x v="1"/>
  </r>
  <r>
    <n v="578"/>
    <d v="2023-12-05T00:00:00"/>
    <d v="1899-12-30T22:42:00"/>
    <n v="68"/>
    <x v="1"/>
    <x v="29"/>
    <x v="0"/>
    <n v="4"/>
    <n v="30"/>
    <n v="9.3000000000000007"/>
    <n v="120"/>
    <x v="1"/>
    <n v="12"/>
    <x v="2"/>
    <n v="5"/>
    <x v="6"/>
    <n v="4"/>
    <n v="110.7"/>
    <n v="0.92249999999999999"/>
    <n v="0"/>
    <x v="0"/>
  </r>
  <r>
    <n v="923"/>
    <d v="2023-06-10T00:00:00"/>
    <d v="1899-12-30T17:20:00"/>
    <n v="62"/>
    <x v="0"/>
    <x v="37"/>
    <x v="1"/>
    <n v="3"/>
    <n v="300"/>
    <n v="165"/>
    <n v="900"/>
    <x v="1"/>
    <n v="6"/>
    <x v="11"/>
    <n v="10"/>
    <x v="0"/>
    <n v="2"/>
    <n v="735"/>
    <n v="0.81666666700000001"/>
    <n v="1"/>
    <x v="3"/>
  </r>
  <r>
    <n v="1382"/>
    <d v="2023-05-20T00:00:00"/>
    <d v="1899-12-30T18:13:00"/>
    <n v="139"/>
    <x v="1"/>
    <x v="21"/>
    <x v="0"/>
    <n v="2"/>
    <n v="500"/>
    <n v="185"/>
    <n v="1000"/>
    <x v="1"/>
    <n v="5"/>
    <x v="7"/>
    <n v="20"/>
    <x v="0"/>
    <n v="2"/>
    <n v="815"/>
    <n v="0.81499999999999995"/>
    <n v="1"/>
    <x v="3"/>
  </r>
  <r>
    <n v="1578"/>
    <d v="2023-11-20T00:00:00"/>
    <d v="1899-12-30T18:43:00"/>
    <n v="66"/>
    <x v="1"/>
    <x v="29"/>
    <x v="0"/>
    <n v="4"/>
    <n v="30"/>
    <n v="12"/>
    <n v="120"/>
    <x v="1"/>
    <n v="11"/>
    <x v="0"/>
    <n v="20"/>
    <x v="1"/>
    <n v="4"/>
    <n v="108"/>
    <n v="0.9"/>
    <n v="0"/>
    <x v="0"/>
  </r>
  <r>
    <n v="1923"/>
    <d v="2022-04-03T00:00:00"/>
    <d v="1899-12-30T17:38:00"/>
    <n v="74"/>
    <x v="0"/>
    <x v="37"/>
    <x v="1"/>
    <n v="3"/>
    <n v="300"/>
    <n v="159"/>
    <n v="900"/>
    <x v="0"/>
    <n v="4"/>
    <x v="6"/>
    <n v="3"/>
    <x v="5"/>
    <n v="2"/>
    <n v="741"/>
    <n v="0.823333333"/>
    <n v="1"/>
    <x v="3"/>
  </r>
  <r>
    <n v="307"/>
    <d v="2022-11-11T00:00:00"/>
    <d v="1899-12-30T22:54:00"/>
    <n v="32"/>
    <x v="1"/>
    <x v="6"/>
    <x v="2"/>
    <n v="2"/>
    <n v="25"/>
    <n v="8.5"/>
    <n v="50"/>
    <x v="0"/>
    <n v="11"/>
    <x v="0"/>
    <n v="11"/>
    <x v="3"/>
    <n v="4"/>
    <n v="41.5"/>
    <n v="0.83"/>
    <n v="0"/>
    <x v="0"/>
  </r>
  <r>
    <n v="561"/>
    <d v="2022-07-29T00:00:00"/>
    <d v="1899-12-30T17:04:00"/>
    <n v="34"/>
    <x v="1"/>
    <x v="3"/>
    <x v="0"/>
    <n v="4"/>
    <n v="500"/>
    <n v="250"/>
    <n v="2000"/>
    <x v="0"/>
    <n v="7"/>
    <x v="1"/>
    <n v="29"/>
    <x v="3"/>
    <n v="3"/>
    <n v="1750"/>
    <n v="0.875"/>
    <n v="1"/>
    <x v="1"/>
  </r>
  <r>
    <n v="651"/>
    <d v="2023-09-28T00:00:00"/>
    <d v="1899-12-30T21:02:00"/>
    <n v="30"/>
    <x v="0"/>
    <x v="12"/>
    <x v="0"/>
    <n v="3"/>
    <n v="50"/>
    <n v="26"/>
    <n v="150"/>
    <x v="1"/>
    <n v="9"/>
    <x v="9"/>
    <n v="28"/>
    <x v="2"/>
    <n v="3"/>
    <n v="124"/>
    <n v="0.82666666700000002"/>
    <n v="1"/>
    <x v="1"/>
  </r>
  <r>
    <n v="1307"/>
    <d v="2022-01-29T00:00:00"/>
    <d v="1899-12-30T22:11:00"/>
    <n v="68"/>
    <x v="1"/>
    <x v="6"/>
    <x v="2"/>
    <n v="2"/>
    <n v="25"/>
    <n v="11.75"/>
    <n v="50"/>
    <x v="0"/>
    <n v="1"/>
    <x v="3"/>
    <n v="29"/>
    <x v="0"/>
    <n v="1"/>
    <n v="38.25"/>
    <n v="0.76500000000000001"/>
    <n v="0"/>
    <x v="2"/>
  </r>
  <r>
    <n v="1561"/>
    <d v="2023-09-17T00:00:00"/>
    <d v="1899-12-30T19:38:00"/>
    <n v="16"/>
    <x v="1"/>
    <x v="3"/>
    <x v="0"/>
    <n v="4"/>
    <n v="500"/>
    <n v="170"/>
    <n v="2000"/>
    <x v="1"/>
    <n v="9"/>
    <x v="9"/>
    <n v="17"/>
    <x v="5"/>
    <n v="3"/>
    <n v="1830"/>
    <n v="0.91500000000000004"/>
    <n v="1"/>
    <x v="1"/>
  </r>
  <r>
    <n v="1651"/>
    <d v="2022-12-04T00:00:00"/>
    <d v="1899-12-30T21:29:00"/>
    <n v="155"/>
    <x v="0"/>
    <x v="12"/>
    <x v="0"/>
    <n v="3"/>
    <n v="50"/>
    <n v="23.5"/>
    <n v="150"/>
    <x v="0"/>
    <n v="12"/>
    <x v="2"/>
    <n v="4"/>
    <x v="5"/>
    <n v="4"/>
    <n v="126.5"/>
    <n v="0.84333333300000002"/>
    <n v="1"/>
    <x v="0"/>
  </r>
  <r>
    <n v="988"/>
    <d v="2022-08-05T00:00:00"/>
    <d v="1899-12-30T18:41:00"/>
    <n v="85"/>
    <x v="1"/>
    <x v="15"/>
    <x v="0"/>
    <n v="3"/>
    <n v="25"/>
    <n v="8"/>
    <n v="75"/>
    <x v="0"/>
    <n v="8"/>
    <x v="4"/>
    <n v="5"/>
    <x v="3"/>
    <n v="3"/>
    <n v="67"/>
    <n v="0.89333333299999995"/>
    <n v="0"/>
    <x v="1"/>
  </r>
  <r>
    <n v="1988"/>
    <d v="2023-11-30T00:00:00"/>
    <d v="1899-12-30T18:47:00"/>
    <n v="144"/>
    <x v="1"/>
    <x v="15"/>
    <x v="0"/>
    <n v="3"/>
    <n v="25"/>
    <n v="7.25"/>
    <n v="75"/>
    <x v="1"/>
    <n v="11"/>
    <x v="0"/>
    <n v="30"/>
    <x v="2"/>
    <n v="4"/>
    <n v="67.75"/>
    <n v="0.90333333299999996"/>
    <n v="0"/>
    <x v="0"/>
  </r>
  <r>
    <n v="67"/>
    <d v="2023-08-19T00:00:00"/>
    <d v="1899-12-30T20:19:00"/>
    <n v="119"/>
    <x v="1"/>
    <x v="42"/>
    <x v="1"/>
    <n v="4"/>
    <n v="300"/>
    <n v="129"/>
    <n v="1200"/>
    <x v="1"/>
    <n v="8"/>
    <x v="4"/>
    <n v="19"/>
    <x v="0"/>
    <n v="3"/>
    <n v="1071"/>
    <n v="0.89249999999999996"/>
    <n v="1"/>
    <x v="1"/>
  </r>
  <r>
    <n v="1067"/>
    <d v="2023-10-03T00:00:00"/>
    <d v="1899-12-30T17:01:00"/>
    <n v="105"/>
    <x v="1"/>
    <x v="42"/>
    <x v="1"/>
    <n v="4"/>
    <n v="300"/>
    <n v="129"/>
    <n v="1200"/>
    <x v="1"/>
    <n v="10"/>
    <x v="5"/>
    <n v="3"/>
    <x v="6"/>
    <n v="4"/>
    <n v="1071"/>
    <n v="0.89249999999999996"/>
    <n v="1"/>
    <x v="0"/>
  </r>
  <r>
    <n v="915"/>
    <d v="2023-10-11T00:00:00"/>
    <d v="1899-12-30T19:06:00"/>
    <n v="95"/>
    <x v="1"/>
    <x v="6"/>
    <x v="1"/>
    <n v="3"/>
    <n v="30"/>
    <n v="12.9"/>
    <n v="90"/>
    <x v="1"/>
    <n v="10"/>
    <x v="5"/>
    <n v="11"/>
    <x v="4"/>
    <n v="4"/>
    <n v="77.099999999999994"/>
    <n v="0.85666666700000005"/>
    <n v="0"/>
    <x v="0"/>
  </r>
  <r>
    <n v="985"/>
    <d v="2023-06-13T00:00:00"/>
    <d v="1899-12-30T22:33:00"/>
    <n v="113"/>
    <x v="1"/>
    <x v="4"/>
    <x v="2"/>
    <n v="2"/>
    <n v="25"/>
    <n v="9"/>
    <n v="50"/>
    <x v="1"/>
    <n v="6"/>
    <x v="11"/>
    <n v="13"/>
    <x v="6"/>
    <n v="2"/>
    <n v="41"/>
    <n v="0.82"/>
    <n v="0"/>
    <x v="3"/>
  </r>
  <r>
    <n v="1915"/>
    <d v="2023-07-10T00:00:00"/>
    <d v="1899-12-30T22:50:00"/>
    <n v="53"/>
    <x v="1"/>
    <x v="6"/>
    <x v="1"/>
    <n v="3"/>
    <n v="30"/>
    <n v="9.3000000000000007"/>
    <n v="90"/>
    <x v="1"/>
    <n v="7"/>
    <x v="1"/>
    <n v="10"/>
    <x v="1"/>
    <n v="3"/>
    <n v="80.7"/>
    <n v="0.89666666699999997"/>
    <n v="0"/>
    <x v="1"/>
  </r>
  <r>
    <n v="1985"/>
    <d v="2023-03-31T00:00:00"/>
    <d v="1899-12-30T20:15:00"/>
    <n v="113"/>
    <x v="1"/>
    <x v="4"/>
    <x v="2"/>
    <n v="2"/>
    <n v="25"/>
    <n v="9.75"/>
    <n v="50"/>
    <x v="1"/>
    <n v="3"/>
    <x v="8"/>
    <n v="31"/>
    <x v="3"/>
    <n v="1"/>
    <n v="40.25"/>
    <n v="0.80500000000000005"/>
    <n v="0"/>
    <x v="2"/>
  </r>
  <r>
    <n v="56"/>
    <d v="2022-12-27T00:00:00"/>
    <d v="1899-12-30T19:37:00"/>
    <n v="97"/>
    <x v="1"/>
    <x v="6"/>
    <x v="0"/>
    <n v="3"/>
    <n v="300"/>
    <n v="120"/>
    <n v="900"/>
    <x v="0"/>
    <n v="12"/>
    <x v="2"/>
    <n v="27"/>
    <x v="6"/>
    <n v="4"/>
    <n v="780"/>
    <n v="0.86666666699999995"/>
    <n v="1"/>
    <x v="0"/>
  </r>
  <r>
    <n v="159"/>
    <d v="2022-11-10T00:00:00"/>
    <d v="1899-12-30T21:30:00"/>
    <n v="42"/>
    <x v="0"/>
    <x v="6"/>
    <x v="0"/>
    <n v="4"/>
    <n v="50"/>
    <n v="23.5"/>
    <n v="200"/>
    <x v="0"/>
    <n v="11"/>
    <x v="0"/>
    <n v="10"/>
    <x v="2"/>
    <n v="4"/>
    <n v="176.5"/>
    <n v="0.88249999999999995"/>
    <n v="1"/>
    <x v="0"/>
  </r>
  <r>
    <n v="862"/>
    <d v="2022-12-11T00:00:00"/>
    <d v="1899-12-30T21:37:00"/>
    <n v="29"/>
    <x v="0"/>
    <x v="32"/>
    <x v="2"/>
    <n v="4"/>
    <n v="300"/>
    <n v="78"/>
    <n v="1200"/>
    <x v="0"/>
    <n v="12"/>
    <x v="2"/>
    <n v="11"/>
    <x v="5"/>
    <n v="4"/>
    <n v="1122"/>
    <n v="0.93500000000000005"/>
    <n v="1"/>
    <x v="0"/>
  </r>
  <r>
    <n v="1056"/>
    <d v="2022-04-17T00:00:00"/>
    <d v="1899-12-30T19:46:00"/>
    <n v="54"/>
    <x v="1"/>
    <x v="6"/>
    <x v="0"/>
    <n v="3"/>
    <n v="300"/>
    <n v="114"/>
    <n v="900"/>
    <x v="0"/>
    <n v="4"/>
    <x v="6"/>
    <n v="17"/>
    <x v="5"/>
    <n v="2"/>
    <n v="786"/>
    <n v="0.87333333300000004"/>
    <n v="1"/>
    <x v="3"/>
  </r>
  <r>
    <n v="1159"/>
    <d v="2023-04-02T00:00:00"/>
    <d v="1899-12-30T18:08:00"/>
    <n v="41"/>
    <x v="0"/>
    <x v="6"/>
    <x v="0"/>
    <n v="4"/>
    <n v="50"/>
    <n v="18"/>
    <n v="200"/>
    <x v="1"/>
    <n v="4"/>
    <x v="6"/>
    <n v="2"/>
    <x v="5"/>
    <n v="2"/>
    <n v="182"/>
    <n v="0.91"/>
    <n v="1"/>
    <x v="3"/>
  </r>
  <r>
    <n v="1862"/>
    <d v="2022-02-06T00:00:00"/>
    <d v="1899-12-30T22:50:00"/>
    <n v="64"/>
    <x v="0"/>
    <x v="32"/>
    <x v="2"/>
    <n v="4"/>
    <n v="300"/>
    <n v="165"/>
    <n v="1200"/>
    <x v="0"/>
    <n v="2"/>
    <x v="10"/>
    <n v="6"/>
    <x v="5"/>
    <n v="1"/>
    <n v="1035"/>
    <n v="0.86250000000000004"/>
    <n v="1"/>
    <x v="2"/>
  </r>
  <r>
    <n v="315"/>
    <d v="2023-07-03T00:00:00"/>
    <d v="1899-12-30T18:53:00"/>
    <n v="122"/>
    <x v="0"/>
    <x v="35"/>
    <x v="0"/>
    <n v="2"/>
    <n v="30"/>
    <n v="15"/>
    <n v="60"/>
    <x v="1"/>
    <n v="7"/>
    <x v="1"/>
    <n v="3"/>
    <x v="1"/>
    <n v="3"/>
    <n v="45"/>
    <n v="0.75"/>
    <n v="0"/>
    <x v="1"/>
  </r>
  <r>
    <n v="545"/>
    <d v="2023-12-19T00:00:00"/>
    <d v="1899-12-30T17:18:00"/>
    <n v="61"/>
    <x v="0"/>
    <x v="17"/>
    <x v="0"/>
    <n v="2"/>
    <n v="25"/>
    <n v="8.25"/>
    <n v="50"/>
    <x v="1"/>
    <n v="12"/>
    <x v="2"/>
    <n v="19"/>
    <x v="6"/>
    <n v="4"/>
    <n v="41.75"/>
    <n v="0.83499999999999996"/>
    <n v="0"/>
    <x v="0"/>
  </r>
  <r>
    <n v="902"/>
    <d v="2022-02-14T00:00:00"/>
    <d v="1899-12-30T17:16:00"/>
    <n v="108"/>
    <x v="1"/>
    <x v="29"/>
    <x v="1"/>
    <n v="1"/>
    <n v="50"/>
    <n v="21.5"/>
    <n v="50"/>
    <x v="0"/>
    <n v="2"/>
    <x v="10"/>
    <n v="14"/>
    <x v="1"/>
    <n v="1"/>
    <n v="28.5"/>
    <n v="0.56999999999999995"/>
    <n v="0"/>
    <x v="2"/>
  </r>
  <r>
    <n v="1315"/>
    <d v="2022-08-31T00:00:00"/>
    <d v="1899-12-30T20:52:00"/>
    <n v="14"/>
    <x v="0"/>
    <x v="35"/>
    <x v="0"/>
    <n v="2"/>
    <n v="30"/>
    <n v="12.9"/>
    <n v="60"/>
    <x v="0"/>
    <n v="8"/>
    <x v="4"/>
    <n v="31"/>
    <x v="4"/>
    <n v="3"/>
    <n v="47.1"/>
    <n v="0.78500000000000003"/>
    <n v="0"/>
    <x v="1"/>
  </r>
  <r>
    <n v="1545"/>
    <d v="2023-07-15T00:00:00"/>
    <d v="1899-12-30T18:21:00"/>
    <n v="16"/>
    <x v="0"/>
    <x v="17"/>
    <x v="0"/>
    <n v="2"/>
    <n v="25"/>
    <n v="8.25"/>
    <n v="50"/>
    <x v="1"/>
    <n v="7"/>
    <x v="1"/>
    <n v="15"/>
    <x v="0"/>
    <n v="3"/>
    <n v="41.75"/>
    <n v="0.83499999999999996"/>
    <n v="0"/>
    <x v="1"/>
  </r>
  <r>
    <n v="1902"/>
    <d v="2022-12-21T00:00:00"/>
    <d v="1899-12-30T17:12:00"/>
    <n v="97"/>
    <x v="1"/>
    <x v="29"/>
    <x v="1"/>
    <n v="1"/>
    <n v="50"/>
    <n v="14"/>
    <n v="50"/>
    <x v="0"/>
    <n v="12"/>
    <x v="2"/>
    <n v="21"/>
    <x v="4"/>
    <n v="4"/>
    <n v="36"/>
    <n v="0.72"/>
    <n v="0"/>
    <x v="0"/>
  </r>
  <r>
    <n v="170"/>
    <d v="2023-09-21T00:00:00"/>
    <d v="1899-12-30T20:46:00"/>
    <n v="125"/>
    <x v="1"/>
    <x v="38"/>
    <x v="0"/>
    <n v="2"/>
    <n v="25"/>
    <n v="12.5"/>
    <n v="50"/>
    <x v="1"/>
    <n v="9"/>
    <x v="9"/>
    <n v="21"/>
    <x v="2"/>
    <n v="3"/>
    <n v="37.5"/>
    <n v="0.75"/>
    <n v="0"/>
    <x v="1"/>
  </r>
  <r>
    <n v="685"/>
    <d v="2023-07-04T00:00:00"/>
    <d v="1899-12-30T22:15:00"/>
    <n v="90"/>
    <x v="0"/>
    <x v="10"/>
    <x v="2"/>
    <n v="2"/>
    <n v="25"/>
    <n v="7.75"/>
    <n v="50"/>
    <x v="1"/>
    <n v="7"/>
    <x v="1"/>
    <n v="4"/>
    <x v="6"/>
    <n v="3"/>
    <n v="42.25"/>
    <n v="0.84499999999999997"/>
    <n v="0"/>
    <x v="1"/>
  </r>
  <r>
    <n v="958"/>
    <d v="2022-01-01T00:00:00"/>
    <d v="1899-12-30T21:14:00"/>
    <n v="116"/>
    <x v="0"/>
    <x v="44"/>
    <x v="2"/>
    <n v="2"/>
    <n v="25"/>
    <n v="11"/>
    <n v="50"/>
    <x v="0"/>
    <n v="1"/>
    <x v="3"/>
    <n v="1"/>
    <x v="0"/>
    <n v="1"/>
    <n v="39"/>
    <n v="0.78"/>
    <n v="0"/>
    <x v="2"/>
  </r>
  <r>
    <n v="1170"/>
    <d v="2023-01-06T00:00:00"/>
    <d v="1899-12-30T17:13:00"/>
    <n v="96"/>
    <x v="1"/>
    <x v="38"/>
    <x v="0"/>
    <n v="2"/>
    <n v="25"/>
    <n v="8"/>
    <n v="50"/>
    <x v="1"/>
    <n v="1"/>
    <x v="3"/>
    <n v="6"/>
    <x v="3"/>
    <n v="1"/>
    <n v="42"/>
    <n v="0.84"/>
    <n v="0"/>
    <x v="2"/>
  </r>
  <r>
    <n v="1685"/>
    <d v="2022-04-20T00:00:00"/>
    <d v="1899-12-30T20:32:00"/>
    <n v="76"/>
    <x v="0"/>
    <x v="10"/>
    <x v="2"/>
    <n v="2"/>
    <n v="25"/>
    <n v="8.75"/>
    <n v="50"/>
    <x v="0"/>
    <n v="4"/>
    <x v="6"/>
    <n v="20"/>
    <x v="4"/>
    <n v="2"/>
    <n v="41.25"/>
    <n v="0.82499999999999996"/>
    <n v="0"/>
    <x v="3"/>
  </r>
  <r>
    <n v="1958"/>
    <d v="2022-11-27T00:00:00"/>
    <d v="1899-12-30T19:19:00"/>
    <n v="125"/>
    <x v="0"/>
    <x v="44"/>
    <x v="2"/>
    <n v="2"/>
    <n v="25"/>
    <n v="11.75"/>
    <n v="50"/>
    <x v="0"/>
    <n v="11"/>
    <x v="0"/>
    <n v="27"/>
    <x v="5"/>
    <n v="4"/>
    <n v="38.25"/>
    <n v="0.76500000000000001"/>
    <n v="0"/>
    <x v="0"/>
  </r>
  <r>
    <n v="363"/>
    <d v="2022-05-23T00:00:00"/>
    <d v="1899-12-30T22:51:00"/>
    <n v="92"/>
    <x v="0"/>
    <x v="3"/>
    <x v="1"/>
    <n v="1"/>
    <n v="25"/>
    <n v="13.5"/>
    <n v="25"/>
    <x v="0"/>
    <n v="5"/>
    <x v="7"/>
    <n v="23"/>
    <x v="1"/>
    <n v="2"/>
    <n v="11.5"/>
    <n v="0.46"/>
    <n v="0"/>
    <x v="3"/>
  </r>
  <r>
    <n v="394"/>
    <d v="2022-08-19T00:00:00"/>
    <d v="1899-12-30T19:27:00"/>
    <n v="105"/>
    <x v="1"/>
    <x v="17"/>
    <x v="0"/>
    <n v="1"/>
    <n v="500"/>
    <n v="165"/>
    <n v="500"/>
    <x v="0"/>
    <n v="8"/>
    <x v="4"/>
    <n v="19"/>
    <x v="3"/>
    <n v="3"/>
    <n v="335"/>
    <n v="0.67"/>
    <n v="1"/>
    <x v="1"/>
  </r>
  <r>
    <n v="537"/>
    <d v="2023-10-01T00:00:00"/>
    <d v="1899-12-30T18:07:00"/>
    <n v="98"/>
    <x v="1"/>
    <x v="40"/>
    <x v="1"/>
    <n v="1"/>
    <n v="500"/>
    <n v="275"/>
    <n v="500"/>
    <x v="1"/>
    <n v="10"/>
    <x v="5"/>
    <n v="1"/>
    <x v="5"/>
    <n v="4"/>
    <n v="225"/>
    <n v="0.45"/>
    <n v="1"/>
    <x v="0"/>
  </r>
  <r>
    <n v="1363"/>
    <d v="2023-07-04T00:00:00"/>
    <d v="1899-12-30T20:27:00"/>
    <n v="33"/>
    <x v="0"/>
    <x v="3"/>
    <x v="1"/>
    <n v="1"/>
    <n v="25"/>
    <n v="7.75"/>
    <n v="25"/>
    <x v="1"/>
    <n v="7"/>
    <x v="1"/>
    <n v="4"/>
    <x v="6"/>
    <n v="3"/>
    <n v="17.25"/>
    <n v="0.69"/>
    <n v="0"/>
    <x v="1"/>
  </r>
  <r>
    <n v="1394"/>
    <d v="2022-04-17T00:00:00"/>
    <d v="1899-12-30T20:06:00"/>
    <n v="14"/>
    <x v="1"/>
    <x v="17"/>
    <x v="0"/>
    <n v="1"/>
    <n v="500"/>
    <n v="250"/>
    <n v="500"/>
    <x v="0"/>
    <n v="4"/>
    <x v="6"/>
    <n v="17"/>
    <x v="5"/>
    <n v="2"/>
    <n v="250"/>
    <n v="0.5"/>
    <n v="1"/>
    <x v="3"/>
  </r>
  <r>
    <n v="1537"/>
    <d v="2022-11-29T00:00:00"/>
    <d v="1899-12-30T17:57:00"/>
    <n v="116"/>
    <x v="1"/>
    <x v="40"/>
    <x v="1"/>
    <n v="1"/>
    <n v="500"/>
    <n v="140"/>
    <n v="500"/>
    <x v="0"/>
    <n v="11"/>
    <x v="0"/>
    <n v="29"/>
    <x v="6"/>
    <n v="4"/>
    <n v="360"/>
    <n v="0.72"/>
    <n v="1"/>
    <x v="0"/>
  </r>
  <r>
    <n v="387"/>
    <d v="2023-01-26T00:00:00"/>
    <d v="1899-12-30T21:58:00"/>
    <n v="118"/>
    <x v="0"/>
    <x v="47"/>
    <x v="1"/>
    <n v="1"/>
    <n v="30"/>
    <n v="9"/>
    <n v="30"/>
    <x v="1"/>
    <n v="1"/>
    <x v="3"/>
    <n v="26"/>
    <x v="2"/>
    <n v="1"/>
    <n v="21"/>
    <n v="0.7"/>
    <n v="0"/>
    <x v="2"/>
  </r>
  <r>
    <n v="556"/>
    <d v="2022-02-05T00:00:00"/>
    <d v="1899-12-30T17:37:00"/>
    <n v="42"/>
    <x v="1"/>
    <x v="18"/>
    <x v="2"/>
    <n v="1"/>
    <n v="50"/>
    <n v="12.5"/>
    <n v="50"/>
    <x v="0"/>
    <n v="2"/>
    <x v="10"/>
    <n v="5"/>
    <x v="0"/>
    <n v="1"/>
    <n v="37.5"/>
    <n v="0.75"/>
    <n v="0"/>
    <x v="2"/>
  </r>
  <r>
    <n v="782"/>
    <d v="2022-04-13T00:00:00"/>
    <d v="1899-12-30T21:51:00"/>
    <n v="71"/>
    <x v="0"/>
    <x v="26"/>
    <x v="0"/>
    <n v="3"/>
    <n v="300"/>
    <n v="150"/>
    <n v="900"/>
    <x v="0"/>
    <n v="4"/>
    <x v="6"/>
    <n v="13"/>
    <x v="4"/>
    <n v="2"/>
    <n v="750"/>
    <n v="0.83333333300000001"/>
    <n v="1"/>
    <x v="3"/>
  </r>
  <r>
    <n v="906"/>
    <d v="2022-07-19T00:00:00"/>
    <d v="1899-12-30T17:55:00"/>
    <n v="6"/>
    <x v="1"/>
    <x v="36"/>
    <x v="0"/>
    <n v="1"/>
    <n v="50"/>
    <n v="17"/>
    <n v="50"/>
    <x v="0"/>
    <n v="7"/>
    <x v="1"/>
    <n v="19"/>
    <x v="6"/>
    <n v="3"/>
    <n v="33"/>
    <n v="0.66"/>
    <n v="0"/>
    <x v="1"/>
  </r>
  <r>
    <n v="1387"/>
    <d v="2022-07-26T00:00:00"/>
    <d v="1899-12-30T17:48:00"/>
    <n v="37"/>
    <x v="0"/>
    <x v="47"/>
    <x v="1"/>
    <n v="1"/>
    <n v="30"/>
    <n v="15.6"/>
    <n v="30"/>
    <x v="0"/>
    <n v="7"/>
    <x v="1"/>
    <n v="26"/>
    <x v="6"/>
    <n v="3"/>
    <n v="14.4"/>
    <n v="0.48"/>
    <n v="0"/>
    <x v="1"/>
  </r>
  <r>
    <n v="1556"/>
    <d v="2023-05-17T00:00:00"/>
    <d v="1899-12-30T19:13:00"/>
    <n v="35"/>
    <x v="1"/>
    <x v="18"/>
    <x v="2"/>
    <n v="1"/>
    <n v="50"/>
    <n v="22.5"/>
    <n v="50"/>
    <x v="1"/>
    <n v="5"/>
    <x v="7"/>
    <n v="17"/>
    <x v="4"/>
    <n v="2"/>
    <n v="27.5"/>
    <n v="0.55000000000000004"/>
    <n v="0"/>
    <x v="3"/>
  </r>
  <r>
    <n v="1782"/>
    <d v="2023-04-07T00:00:00"/>
    <d v="1899-12-30T20:23:00"/>
    <n v="116"/>
    <x v="0"/>
    <x v="26"/>
    <x v="0"/>
    <n v="3"/>
    <n v="300"/>
    <n v="141"/>
    <n v="900"/>
    <x v="1"/>
    <n v="4"/>
    <x v="6"/>
    <n v="7"/>
    <x v="3"/>
    <n v="2"/>
    <n v="759"/>
    <n v="0.84333333300000002"/>
    <n v="1"/>
    <x v="3"/>
  </r>
  <r>
    <n v="1906"/>
    <d v="2022-10-01T00:00:00"/>
    <d v="1899-12-30T20:10:00"/>
    <n v="58"/>
    <x v="1"/>
    <x v="36"/>
    <x v="0"/>
    <n v="1"/>
    <n v="50"/>
    <n v="26.5"/>
    <n v="50"/>
    <x v="0"/>
    <n v="10"/>
    <x v="5"/>
    <n v="1"/>
    <x v="0"/>
    <n v="4"/>
    <n v="23.5"/>
    <n v="0.47"/>
    <n v="0"/>
    <x v="0"/>
  </r>
  <r>
    <n v="560"/>
    <d v="2023-10-23T00:00:00"/>
    <d v="1899-12-30T22:51:00"/>
    <n v="7"/>
    <x v="1"/>
    <x v="38"/>
    <x v="2"/>
    <n v="1"/>
    <n v="50"/>
    <n v="19"/>
    <n v="50"/>
    <x v="1"/>
    <n v="10"/>
    <x v="5"/>
    <n v="23"/>
    <x v="1"/>
    <n v="4"/>
    <n v="31"/>
    <n v="0.62"/>
    <n v="0"/>
    <x v="0"/>
  </r>
  <r>
    <n v="944"/>
    <d v="2022-08-23T00:00:00"/>
    <d v="1899-12-30T20:22:00"/>
    <n v="136"/>
    <x v="0"/>
    <x v="47"/>
    <x v="0"/>
    <n v="2"/>
    <n v="25"/>
    <n v="12"/>
    <n v="50"/>
    <x v="0"/>
    <n v="8"/>
    <x v="4"/>
    <n v="23"/>
    <x v="6"/>
    <n v="3"/>
    <n v="38"/>
    <n v="0.76"/>
    <n v="0"/>
    <x v="1"/>
  </r>
  <r>
    <n v="1560"/>
    <d v="2022-11-13T00:00:00"/>
    <d v="1899-12-30T17:16:00"/>
    <n v="91"/>
    <x v="1"/>
    <x v="38"/>
    <x v="2"/>
    <n v="1"/>
    <n v="50"/>
    <n v="18.5"/>
    <n v="50"/>
    <x v="0"/>
    <n v="11"/>
    <x v="0"/>
    <n v="13"/>
    <x v="5"/>
    <n v="4"/>
    <n v="31.5"/>
    <n v="0.63"/>
    <n v="0"/>
    <x v="0"/>
  </r>
  <r>
    <n v="1944"/>
    <d v="2023-07-18T00:00:00"/>
    <d v="1899-12-30T21:08:00"/>
    <n v="63"/>
    <x v="0"/>
    <x v="47"/>
    <x v="0"/>
    <n v="2"/>
    <n v="25"/>
    <n v="6.5"/>
    <n v="50"/>
    <x v="1"/>
    <n v="7"/>
    <x v="1"/>
    <n v="18"/>
    <x v="6"/>
    <n v="3"/>
    <n v="43.5"/>
    <n v="0.87"/>
    <n v="0"/>
    <x v="1"/>
  </r>
  <r>
    <n v="481"/>
    <d v="2023-07-13T00:00:00"/>
    <d v="1899-12-30T17:12:00"/>
    <n v="48"/>
    <x v="1"/>
    <x v="22"/>
    <x v="2"/>
    <n v="4"/>
    <n v="300"/>
    <n v="114"/>
    <n v="1200"/>
    <x v="1"/>
    <n v="7"/>
    <x v="1"/>
    <n v="13"/>
    <x v="2"/>
    <n v="3"/>
    <n v="1086"/>
    <n v="0.90500000000000003"/>
    <n v="1"/>
    <x v="1"/>
  </r>
  <r>
    <n v="867"/>
    <d v="2022-07-24T00:00:00"/>
    <d v="1899-12-30T22:40:00"/>
    <n v="152"/>
    <x v="0"/>
    <x v="40"/>
    <x v="2"/>
    <n v="1"/>
    <n v="500"/>
    <n v="185"/>
    <n v="500"/>
    <x v="0"/>
    <n v="7"/>
    <x v="1"/>
    <n v="24"/>
    <x v="5"/>
    <n v="3"/>
    <n v="315"/>
    <n v="0.63"/>
    <n v="1"/>
    <x v="1"/>
  </r>
  <r>
    <n v="882"/>
    <d v="2023-10-22T00:00:00"/>
    <d v="1899-12-30T21:41:00"/>
    <n v="144"/>
    <x v="1"/>
    <x v="3"/>
    <x v="2"/>
    <n v="2"/>
    <n v="25"/>
    <n v="13.25"/>
    <n v="50"/>
    <x v="1"/>
    <n v="10"/>
    <x v="5"/>
    <n v="22"/>
    <x v="5"/>
    <n v="4"/>
    <n v="36.75"/>
    <n v="0.73499999999999999"/>
    <n v="0"/>
    <x v="0"/>
  </r>
  <r>
    <n v="961"/>
    <d v="2023-03-22T00:00:00"/>
    <d v="1899-12-30T22:36:00"/>
    <n v="86"/>
    <x v="0"/>
    <x v="21"/>
    <x v="1"/>
    <n v="4"/>
    <n v="50"/>
    <n v="23"/>
    <n v="200"/>
    <x v="1"/>
    <n v="3"/>
    <x v="8"/>
    <n v="22"/>
    <x v="4"/>
    <n v="1"/>
    <n v="177"/>
    <n v="0.88500000000000001"/>
    <n v="1"/>
    <x v="2"/>
  </r>
  <r>
    <n v="1481"/>
    <d v="2023-11-09T00:00:00"/>
    <d v="1899-12-30T17:22:00"/>
    <n v="20"/>
    <x v="1"/>
    <x v="22"/>
    <x v="2"/>
    <n v="4"/>
    <n v="300"/>
    <n v="114"/>
    <n v="1200"/>
    <x v="1"/>
    <n v="11"/>
    <x v="0"/>
    <n v="9"/>
    <x v="2"/>
    <n v="4"/>
    <n v="1086"/>
    <n v="0.90500000000000003"/>
    <n v="1"/>
    <x v="0"/>
  </r>
  <r>
    <n v="1867"/>
    <d v="2023-05-16T00:00:00"/>
    <d v="1899-12-30T19:55:00"/>
    <n v="144"/>
    <x v="0"/>
    <x v="40"/>
    <x v="2"/>
    <n v="1"/>
    <n v="500"/>
    <n v="190"/>
    <n v="500"/>
    <x v="1"/>
    <n v="5"/>
    <x v="7"/>
    <n v="16"/>
    <x v="6"/>
    <n v="2"/>
    <n v="310"/>
    <n v="0.62"/>
    <n v="1"/>
    <x v="3"/>
  </r>
  <r>
    <n v="1882"/>
    <d v="2023-06-21T00:00:00"/>
    <d v="1899-12-30T20:56:00"/>
    <n v="15"/>
    <x v="1"/>
    <x v="3"/>
    <x v="2"/>
    <n v="2"/>
    <n v="25"/>
    <n v="9"/>
    <n v="50"/>
    <x v="1"/>
    <n v="6"/>
    <x v="11"/>
    <n v="21"/>
    <x v="4"/>
    <n v="2"/>
    <n v="41"/>
    <n v="0.82"/>
    <n v="0"/>
    <x v="3"/>
  </r>
  <r>
    <n v="1961"/>
    <d v="2022-05-15T00:00:00"/>
    <d v="1899-12-30T21:17:00"/>
    <n v="95"/>
    <x v="0"/>
    <x v="21"/>
    <x v="1"/>
    <n v="4"/>
    <n v="50"/>
    <n v="20.5"/>
    <n v="200"/>
    <x v="0"/>
    <n v="5"/>
    <x v="7"/>
    <n v="15"/>
    <x v="5"/>
    <n v="2"/>
    <n v="179.5"/>
    <n v="0.89749999999999996"/>
    <n v="1"/>
    <x v="3"/>
  </r>
  <r>
    <n v="187"/>
    <d v="2022-02-20T00:00:00"/>
    <d v="1899-12-30T20:19:00"/>
    <n v="88"/>
    <x v="1"/>
    <x v="3"/>
    <x v="0"/>
    <n v="2"/>
    <n v="50"/>
    <n v="21"/>
    <n v="100"/>
    <x v="0"/>
    <n v="2"/>
    <x v="10"/>
    <n v="20"/>
    <x v="5"/>
    <n v="1"/>
    <n v="79"/>
    <n v="0.79"/>
    <n v="0"/>
    <x v="2"/>
  </r>
  <r>
    <n v="446"/>
    <d v="2022-11-02T00:00:00"/>
    <d v="1899-12-30T19:57:00"/>
    <n v="104"/>
    <x v="0"/>
    <x v="40"/>
    <x v="2"/>
    <n v="1"/>
    <n v="50"/>
    <n v="13"/>
    <n v="50"/>
    <x v="0"/>
    <n v="11"/>
    <x v="0"/>
    <n v="2"/>
    <x v="4"/>
    <n v="4"/>
    <n v="37"/>
    <n v="0.74"/>
    <n v="0"/>
    <x v="0"/>
  </r>
  <r>
    <n v="1187"/>
    <d v="2023-07-07T00:00:00"/>
    <d v="1899-12-30T17:05:00"/>
    <n v="52"/>
    <x v="1"/>
    <x v="3"/>
    <x v="0"/>
    <n v="2"/>
    <n v="50"/>
    <n v="12.5"/>
    <n v="100"/>
    <x v="1"/>
    <n v="7"/>
    <x v="1"/>
    <n v="7"/>
    <x v="3"/>
    <n v="3"/>
    <n v="87.5"/>
    <n v="0.875"/>
    <n v="0"/>
    <x v="1"/>
  </r>
  <r>
    <n v="1446"/>
    <d v="2022-01-23T00:00:00"/>
    <d v="1899-12-30T18:55:00"/>
    <n v="155"/>
    <x v="0"/>
    <x v="40"/>
    <x v="2"/>
    <n v="1"/>
    <n v="50"/>
    <n v="23.5"/>
    <n v="50"/>
    <x v="0"/>
    <n v="1"/>
    <x v="3"/>
    <n v="23"/>
    <x v="5"/>
    <n v="1"/>
    <n v="26.5"/>
    <n v="0.53"/>
    <n v="0"/>
    <x v="2"/>
  </r>
  <r>
    <n v="539"/>
    <d v="2023-11-30T00:00:00"/>
    <d v="1899-12-30T18:13:00"/>
    <n v="135"/>
    <x v="0"/>
    <x v="38"/>
    <x v="1"/>
    <n v="1"/>
    <n v="500"/>
    <n v="205"/>
    <n v="500"/>
    <x v="1"/>
    <n v="11"/>
    <x v="0"/>
    <n v="30"/>
    <x v="2"/>
    <n v="4"/>
    <n v="295"/>
    <n v="0.59"/>
    <n v="1"/>
    <x v="0"/>
  </r>
  <r>
    <n v="587"/>
    <d v="2023-09-04T00:00:00"/>
    <d v="1899-12-30T19:00:00"/>
    <n v="91"/>
    <x v="1"/>
    <x v="2"/>
    <x v="1"/>
    <n v="4"/>
    <n v="300"/>
    <n v="99"/>
    <n v="1200"/>
    <x v="1"/>
    <n v="9"/>
    <x v="9"/>
    <n v="4"/>
    <x v="1"/>
    <n v="3"/>
    <n v="1101"/>
    <n v="0.91749999999999998"/>
    <n v="1"/>
    <x v="1"/>
  </r>
  <r>
    <n v="1539"/>
    <d v="2022-12-06T00:00:00"/>
    <d v="1899-12-30T21:52:00"/>
    <n v="96"/>
    <x v="0"/>
    <x v="38"/>
    <x v="1"/>
    <n v="1"/>
    <n v="500"/>
    <n v="170"/>
    <n v="500"/>
    <x v="0"/>
    <n v="12"/>
    <x v="2"/>
    <n v="6"/>
    <x v="6"/>
    <n v="4"/>
    <n v="330"/>
    <n v="0.66"/>
    <n v="1"/>
    <x v="0"/>
  </r>
  <r>
    <n v="1587"/>
    <d v="2022-11-05T00:00:00"/>
    <d v="1899-12-30T20:06:00"/>
    <n v="140"/>
    <x v="1"/>
    <x v="2"/>
    <x v="1"/>
    <n v="4"/>
    <n v="300"/>
    <n v="105"/>
    <n v="1200"/>
    <x v="0"/>
    <n v="11"/>
    <x v="0"/>
    <n v="5"/>
    <x v="0"/>
    <n v="4"/>
    <n v="1095"/>
    <n v="0.91249999999999998"/>
    <n v="1"/>
    <x v="0"/>
  </r>
  <r>
    <n v="212"/>
    <d v="2023-10-12T00:00:00"/>
    <d v="1899-12-30T18:13:00"/>
    <n v="105"/>
    <x v="0"/>
    <x v="40"/>
    <x v="0"/>
    <n v="3"/>
    <n v="500"/>
    <n v="215"/>
    <n v="1500"/>
    <x v="1"/>
    <n v="10"/>
    <x v="5"/>
    <n v="12"/>
    <x v="2"/>
    <n v="4"/>
    <n v="1285"/>
    <n v="0.85666666700000005"/>
    <n v="1"/>
    <x v="0"/>
  </r>
  <r>
    <n v="765"/>
    <d v="2022-10-16T00:00:00"/>
    <d v="1899-12-30T19:03:00"/>
    <n v="77"/>
    <x v="0"/>
    <x v="22"/>
    <x v="0"/>
    <n v="4"/>
    <n v="50"/>
    <n v="12.5"/>
    <n v="200"/>
    <x v="0"/>
    <n v="10"/>
    <x v="5"/>
    <n v="16"/>
    <x v="5"/>
    <n v="4"/>
    <n v="187.5"/>
    <n v="0.9375"/>
    <n v="1"/>
    <x v="0"/>
  </r>
  <r>
    <n v="769"/>
    <d v="2022-09-09T00:00:00"/>
    <d v="1899-12-30T18:57:00"/>
    <n v="18"/>
    <x v="1"/>
    <x v="16"/>
    <x v="2"/>
    <n v="4"/>
    <n v="30"/>
    <n v="10.199999999999999"/>
    <n v="120"/>
    <x v="0"/>
    <n v="9"/>
    <x v="9"/>
    <n v="9"/>
    <x v="3"/>
    <n v="3"/>
    <n v="109.8"/>
    <n v="0.91500000000000004"/>
    <n v="0"/>
    <x v="1"/>
  </r>
  <r>
    <n v="1212"/>
    <d v="2022-03-16T00:00:00"/>
    <d v="1899-12-30T18:05:00"/>
    <n v="142"/>
    <x v="0"/>
    <x v="40"/>
    <x v="0"/>
    <n v="3"/>
    <n v="500"/>
    <n v="265"/>
    <n v="1500"/>
    <x v="0"/>
    <n v="3"/>
    <x v="8"/>
    <n v="16"/>
    <x v="4"/>
    <n v="1"/>
    <n v="1235"/>
    <n v="0.823333333"/>
    <n v="1"/>
    <x v="2"/>
  </r>
  <r>
    <n v="1765"/>
    <d v="2022-10-18T00:00:00"/>
    <d v="1899-12-30T22:49:00"/>
    <n v="13"/>
    <x v="0"/>
    <x v="22"/>
    <x v="0"/>
    <n v="4"/>
    <n v="50"/>
    <n v="16"/>
    <n v="200"/>
    <x v="0"/>
    <n v="10"/>
    <x v="5"/>
    <n v="18"/>
    <x v="6"/>
    <n v="4"/>
    <n v="184"/>
    <n v="0.92"/>
    <n v="1"/>
    <x v="0"/>
  </r>
  <r>
    <n v="1769"/>
    <d v="2023-10-08T00:00:00"/>
    <d v="1899-12-30T22:50:00"/>
    <n v="116"/>
    <x v="1"/>
    <x v="16"/>
    <x v="2"/>
    <n v="4"/>
    <n v="30"/>
    <n v="9.3000000000000007"/>
    <n v="120"/>
    <x v="1"/>
    <n v="10"/>
    <x v="5"/>
    <n v="8"/>
    <x v="5"/>
    <n v="4"/>
    <n v="110.7"/>
    <n v="0.92249999999999999"/>
    <n v="0"/>
    <x v="0"/>
  </r>
  <r>
    <n v="321"/>
    <d v="2023-09-24T00:00:00"/>
    <d v="1899-12-30T19:53:00"/>
    <n v="30"/>
    <x v="1"/>
    <x v="6"/>
    <x v="2"/>
    <n v="2"/>
    <n v="25"/>
    <n v="9.5"/>
    <n v="50"/>
    <x v="1"/>
    <n v="9"/>
    <x v="9"/>
    <n v="24"/>
    <x v="5"/>
    <n v="3"/>
    <n v="40.5"/>
    <n v="0.81"/>
    <n v="0"/>
    <x v="1"/>
  </r>
  <r>
    <n v="356"/>
    <d v="2023-08-27T00:00:00"/>
    <d v="1899-12-30T18:35:00"/>
    <n v="71"/>
    <x v="0"/>
    <x v="20"/>
    <x v="2"/>
    <n v="3"/>
    <n v="500"/>
    <n v="255"/>
    <n v="1500"/>
    <x v="1"/>
    <n v="8"/>
    <x v="4"/>
    <n v="27"/>
    <x v="5"/>
    <n v="3"/>
    <n v="1245"/>
    <n v="0.83"/>
    <n v="1"/>
    <x v="1"/>
  </r>
  <r>
    <n v="510"/>
    <d v="2023-05-29T00:00:00"/>
    <d v="1899-12-30T17:04:00"/>
    <n v="14"/>
    <x v="1"/>
    <x v="27"/>
    <x v="1"/>
    <n v="4"/>
    <n v="50"/>
    <n v="13"/>
    <n v="200"/>
    <x v="1"/>
    <n v="5"/>
    <x v="7"/>
    <n v="29"/>
    <x v="1"/>
    <n v="2"/>
    <n v="187"/>
    <n v="0.93500000000000005"/>
    <n v="1"/>
    <x v="3"/>
  </r>
  <r>
    <n v="534"/>
    <d v="2023-04-27T00:00:00"/>
    <d v="1899-12-30T22:30:00"/>
    <n v="112"/>
    <x v="0"/>
    <x v="14"/>
    <x v="0"/>
    <n v="2"/>
    <n v="500"/>
    <n v="140"/>
    <n v="1000"/>
    <x v="1"/>
    <n v="4"/>
    <x v="6"/>
    <n v="27"/>
    <x v="2"/>
    <n v="2"/>
    <n v="860"/>
    <n v="0.86"/>
    <n v="1"/>
    <x v="3"/>
  </r>
  <r>
    <n v="1321"/>
    <d v="2023-04-23T00:00:00"/>
    <d v="1899-12-30T22:54:00"/>
    <n v="155"/>
    <x v="1"/>
    <x v="6"/>
    <x v="2"/>
    <n v="2"/>
    <n v="25"/>
    <n v="10.5"/>
    <n v="50"/>
    <x v="1"/>
    <n v="4"/>
    <x v="6"/>
    <n v="23"/>
    <x v="5"/>
    <n v="2"/>
    <n v="39.5"/>
    <n v="0.79"/>
    <n v="0"/>
    <x v="3"/>
  </r>
  <r>
    <n v="1356"/>
    <d v="2023-12-18T00:00:00"/>
    <d v="1899-12-30T21:31:00"/>
    <n v="11"/>
    <x v="0"/>
    <x v="20"/>
    <x v="2"/>
    <n v="3"/>
    <n v="500"/>
    <n v="245"/>
    <n v="1500"/>
    <x v="1"/>
    <n v="12"/>
    <x v="2"/>
    <n v="18"/>
    <x v="1"/>
    <n v="4"/>
    <n v="1255"/>
    <n v="0.83666666700000003"/>
    <n v="1"/>
    <x v="0"/>
  </r>
  <r>
    <n v="1510"/>
    <d v="2022-11-20T00:00:00"/>
    <d v="1899-12-30T18:21:00"/>
    <n v="124"/>
    <x v="1"/>
    <x v="27"/>
    <x v="1"/>
    <n v="4"/>
    <n v="50"/>
    <n v="19"/>
    <n v="200"/>
    <x v="0"/>
    <n v="11"/>
    <x v="0"/>
    <n v="20"/>
    <x v="5"/>
    <n v="4"/>
    <n v="181"/>
    <n v="0.90500000000000003"/>
    <n v="1"/>
    <x v="0"/>
  </r>
  <r>
    <n v="1534"/>
    <d v="2022-06-13T00:00:00"/>
    <d v="1899-12-30T19:44:00"/>
    <n v="72"/>
    <x v="0"/>
    <x v="14"/>
    <x v="0"/>
    <n v="2"/>
    <n v="500"/>
    <n v="270"/>
    <n v="1000"/>
    <x v="0"/>
    <n v="6"/>
    <x v="11"/>
    <n v="13"/>
    <x v="1"/>
    <n v="2"/>
    <n v="730"/>
    <n v="0.73"/>
    <n v="1"/>
    <x v="3"/>
  </r>
  <r>
    <n v="104"/>
    <d v="2022-06-09T00:00:00"/>
    <d v="1899-12-30T22:58:00"/>
    <n v="129"/>
    <x v="1"/>
    <x v="23"/>
    <x v="1"/>
    <n v="2"/>
    <n v="500"/>
    <n v="190"/>
    <n v="1000"/>
    <x v="0"/>
    <n v="6"/>
    <x v="11"/>
    <n v="9"/>
    <x v="2"/>
    <n v="2"/>
    <n v="810"/>
    <n v="0.81"/>
    <n v="1"/>
    <x v="3"/>
  </r>
  <r>
    <n v="110"/>
    <d v="2022-11-18T00:00:00"/>
    <d v="1899-12-30T17:28:00"/>
    <n v="149"/>
    <x v="0"/>
    <x v="17"/>
    <x v="0"/>
    <n v="3"/>
    <n v="300"/>
    <n v="99"/>
    <n v="900"/>
    <x v="0"/>
    <n v="11"/>
    <x v="0"/>
    <n v="18"/>
    <x v="3"/>
    <n v="4"/>
    <n v="801"/>
    <n v="0.89"/>
    <n v="1"/>
    <x v="0"/>
  </r>
  <r>
    <n v="352"/>
    <d v="2023-07-28T00:00:00"/>
    <d v="1899-12-30T17:55:00"/>
    <n v="54"/>
    <x v="0"/>
    <x v="10"/>
    <x v="2"/>
    <n v="2"/>
    <n v="500"/>
    <n v="175"/>
    <n v="1000"/>
    <x v="1"/>
    <n v="7"/>
    <x v="1"/>
    <n v="28"/>
    <x v="3"/>
    <n v="3"/>
    <n v="825"/>
    <n v="0.82499999999999996"/>
    <n v="1"/>
    <x v="1"/>
  </r>
  <r>
    <n v="365"/>
    <d v="2023-02-23T00:00:00"/>
    <d v="1899-12-30T22:12:00"/>
    <n v="151"/>
    <x v="0"/>
    <x v="16"/>
    <x v="0"/>
    <n v="1"/>
    <n v="300"/>
    <n v="93"/>
    <n v="300"/>
    <x v="1"/>
    <n v="2"/>
    <x v="10"/>
    <n v="23"/>
    <x v="2"/>
    <n v="1"/>
    <n v="207"/>
    <n v="0.69"/>
    <n v="1"/>
    <x v="2"/>
  </r>
  <r>
    <n v="887"/>
    <d v="2022-02-24T00:00:00"/>
    <d v="1899-12-30T19:20:00"/>
    <n v="44"/>
    <x v="0"/>
    <x v="26"/>
    <x v="0"/>
    <n v="4"/>
    <n v="25"/>
    <n v="10"/>
    <n v="100"/>
    <x v="0"/>
    <n v="2"/>
    <x v="10"/>
    <n v="24"/>
    <x v="2"/>
    <n v="1"/>
    <n v="90"/>
    <n v="0.9"/>
    <n v="0"/>
    <x v="2"/>
  </r>
  <r>
    <n v="1104"/>
    <d v="2022-07-11T00:00:00"/>
    <d v="1899-12-30T20:13:00"/>
    <n v="70"/>
    <x v="1"/>
    <x v="23"/>
    <x v="1"/>
    <n v="2"/>
    <n v="500"/>
    <n v="150"/>
    <n v="1000"/>
    <x v="0"/>
    <n v="7"/>
    <x v="1"/>
    <n v="11"/>
    <x v="1"/>
    <n v="3"/>
    <n v="850"/>
    <n v="0.85"/>
    <n v="1"/>
    <x v="1"/>
  </r>
  <r>
    <n v="1110"/>
    <d v="2022-10-26T00:00:00"/>
    <d v="1899-12-30T19:14:00"/>
    <n v="62"/>
    <x v="0"/>
    <x v="17"/>
    <x v="0"/>
    <n v="3"/>
    <n v="300"/>
    <n v="114"/>
    <n v="900"/>
    <x v="0"/>
    <n v="10"/>
    <x v="5"/>
    <n v="26"/>
    <x v="4"/>
    <n v="4"/>
    <n v="786"/>
    <n v="0.87333333300000004"/>
    <n v="1"/>
    <x v="0"/>
  </r>
  <r>
    <n v="1352"/>
    <d v="2023-10-19T00:00:00"/>
    <d v="1899-12-30T17:40:00"/>
    <n v="14"/>
    <x v="0"/>
    <x v="10"/>
    <x v="2"/>
    <n v="2"/>
    <n v="500"/>
    <n v="260"/>
    <n v="1000"/>
    <x v="1"/>
    <n v="10"/>
    <x v="5"/>
    <n v="19"/>
    <x v="2"/>
    <n v="4"/>
    <n v="740"/>
    <n v="0.74"/>
    <n v="1"/>
    <x v="0"/>
  </r>
  <r>
    <n v="1365"/>
    <d v="2023-11-08T00:00:00"/>
    <d v="1899-12-30T20:22:00"/>
    <n v="18"/>
    <x v="0"/>
    <x v="16"/>
    <x v="0"/>
    <n v="1"/>
    <n v="300"/>
    <n v="156"/>
    <n v="300"/>
    <x v="1"/>
    <n v="11"/>
    <x v="0"/>
    <n v="8"/>
    <x v="4"/>
    <n v="4"/>
    <n v="144"/>
    <n v="0.48"/>
    <n v="1"/>
    <x v="0"/>
  </r>
  <r>
    <n v="1887"/>
    <d v="2023-12-11T00:00:00"/>
    <d v="1899-12-30T19:34:00"/>
    <n v="113"/>
    <x v="0"/>
    <x v="26"/>
    <x v="0"/>
    <n v="4"/>
    <n v="25"/>
    <n v="10"/>
    <n v="100"/>
    <x v="1"/>
    <n v="12"/>
    <x v="2"/>
    <n v="11"/>
    <x v="1"/>
    <n v="4"/>
    <n v="90"/>
    <n v="0.9"/>
    <n v="0"/>
    <x v="0"/>
  </r>
  <r>
    <n v="629"/>
    <d v="2023-01-05T00:00:00"/>
    <d v="1899-12-30T19:55:00"/>
    <n v="39"/>
    <x v="0"/>
    <x v="44"/>
    <x v="2"/>
    <n v="2"/>
    <n v="25"/>
    <n v="8"/>
    <n v="50"/>
    <x v="1"/>
    <n v="1"/>
    <x v="3"/>
    <n v="5"/>
    <x v="2"/>
    <n v="1"/>
    <n v="42"/>
    <n v="0.84"/>
    <n v="0"/>
    <x v="2"/>
  </r>
  <r>
    <n v="1629"/>
    <d v="2022-02-17T00:00:00"/>
    <d v="1899-12-30T20:18:00"/>
    <n v="144"/>
    <x v="0"/>
    <x v="44"/>
    <x v="2"/>
    <n v="2"/>
    <n v="25"/>
    <n v="10.75"/>
    <n v="50"/>
    <x v="0"/>
    <n v="2"/>
    <x v="10"/>
    <n v="17"/>
    <x v="2"/>
    <n v="1"/>
    <n v="39.25"/>
    <n v="0.78500000000000003"/>
    <n v="0"/>
    <x v="2"/>
  </r>
  <r>
    <n v="655"/>
    <d v="2022-10-31T00:00:00"/>
    <d v="1899-12-30T18:43:00"/>
    <n v="19"/>
    <x v="1"/>
    <x v="46"/>
    <x v="0"/>
    <n v="1"/>
    <n v="500"/>
    <n v="210"/>
    <n v="500"/>
    <x v="0"/>
    <n v="10"/>
    <x v="5"/>
    <n v="31"/>
    <x v="1"/>
    <n v="4"/>
    <n v="290"/>
    <n v="0.57999999999999996"/>
    <n v="1"/>
    <x v="0"/>
  </r>
  <r>
    <n v="1655"/>
    <d v="2023-05-28T00:00:00"/>
    <d v="1899-12-30T17:57:00"/>
    <n v="8"/>
    <x v="1"/>
    <x v="46"/>
    <x v="0"/>
    <n v="1"/>
    <n v="500"/>
    <n v="125"/>
    <n v="500"/>
    <x v="1"/>
    <n v="5"/>
    <x v="7"/>
    <n v="28"/>
    <x v="5"/>
    <n v="2"/>
    <n v="375"/>
    <n v="0.75"/>
    <n v="1"/>
    <x v="3"/>
  </r>
  <r>
    <n v="567"/>
    <d v="2023-05-08T00:00:00"/>
    <d v="1899-12-30T19:53:00"/>
    <n v="5"/>
    <x v="1"/>
    <x v="38"/>
    <x v="0"/>
    <n v="3"/>
    <n v="300"/>
    <n v="144"/>
    <n v="900"/>
    <x v="1"/>
    <n v="5"/>
    <x v="7"/>
    <n v="8"/>
    <x v="1"/>
    <n v="2"/>
    <n v="756"/>
    <n v="0.84"/>
    <n v="1"/>
    <x v="3"/>
  </r>
  <r>
    <n v="1567"/>
    <d v="2023-04-07T00:00:00"/>
    <d v="1899-12-30T17:10:00"/>
    <n v="76"/>
    <x v="1"/>
    <x v="38"/>
    <x v="0"/>
    <n v="3"/>
    <n v="300"/>
    <n v="162"/>
    <n v="900"/>
    <x v="1"/>
    <n v="4"/>
    <x v="6"/>
    <n v="7"/>
    <x v="3"/>
    <n v="2"/>
    <n v="738"/>
    <n v="0.82"/>
    <n v="1"/>
    <x v="3"/>
  </r>
  <r>
    <n v="182"/>
    <d v="2023-06-21T00:00:00"/>
    <d v="1899-12-30T19:27:00"/>
    <n v="27"/>
    <x v="0"/>
    <x v="44"/>
    <x v="1"/>
    <n v="4"/>
    <n v="30"/>
    <n v="10.199999999999999"/>
    <n v="120"/>
    <x v="1"/>
    <n v="6"/>
    <x v="11"/>
    <n v="21"/>
    <x v="4"/>
    <n v="2"/>
    <n v="109.8"/>
    <n v="0.91500000000000004"/>
    <n v="0"/>
    <x v="3"/>
  </r>
  <r>
    <n v="819"/>
    <d v="2023-08-15T00:00:00"/>
    <d v="1899-12-30T21:59:00"/>
    <n v="111"/>
    <x v="1"/>
    <x v="39"/>
    <x v="1"/>
    <n v="2"/>
    <n v="50"/>
    <n v="26"/>
    <n v="100"/>
    <x v="1"/>
    <n v="8"/>
    <x v="4"/>
    <n v="15"/>
    <x v="6"/>
    <n v="3"/>
    <n v="74"/>
    <n v="0.74"/>
    <n v="0"/>
    <x v="1"/>
  </r>
  <r>
    <n v="1182"/>
    <d v="2023-01-03T00:00:00"/>
    <d v="1899-12-30T21:26:00"/>
    <n v="14"/>
    <x v="0"/>
    <x v="44"/>
    <x v="1"/>
    <n v="4"/>
    <n v="30"/>
    <n v="12.9"/>
    <n v="120"/>
    <x v="1"/>
    <n v="1"/>
    <x v="3"/>
    <n v="3"/>
    <x v="6"/>
    <n v="1"/>
    <n v="107.1"/>
    <n v="0.89249999999999996"/>
    <n v="0"/>
    <x v="2"/>
  </r>
  <r>
    <n v="1819"/>
    <d v="2022-11-05T00:00:00"/>
    <d v="1899-12-30T20:44:00"/>
    <n v="83"/>
    <x v="1"/>
    <x v="39"/>
    <x v="1"/>
    <n v="2"/>
    <n v="50"/>
    <n v="13.5"/>
    <n v="100"/>
    <x v="0"/>
    <n v="11"/>
    <x v="0"/>
    <n v="5"/>
    <x v="0"/>
    <n v="4"/>
    <n v="86.5"/>
    <n v="0.86499999999999999"/>
    <n v="0"/>
    <x v="0"/>
  </r>
  <r>
    <n v="100"/>
    <d v="2022-02-08T00:00:00"/>
    <d v="1899-12-30T19:34:00"/>
    <n v="21"/>
    <x v="0"/>
    <x v="0"/>
    <x v="2"/>
    <n v="1"/>
    <n v="30"/>
    <n v="9.3000000000000007"/>
    <n v="30"/>
    <x v="0"/>
    <n v="2"/>
    <x v="10"/>
    <n v="8"/>
    <x v="6"/>
    <n v="1"/>
    <n v="20.7"/>
    <n v="0.69"/>
    <n v="0"/>
    <x v="2"/>
  </r>
  <r>
    <n v="833"/>
    <d v="2023-05-09T00:00:00"/>
    <d v="1899-12-30T18:39:00"/>
    <n v="85"/>
    <x v="0"/>
    <x v="25"/>
    <x v="1"/>
    <n v="4"/>
    <n v="50"/>
    <n v="24.5"/>
    <n v="200"/>
    <x v="1"/>
    <n v="5"/>
    <x v="7"/>
    <n v="9"/>
    <x v="6"/>
    <n v="2"/>
    <n v="175.5"/>
    <n v="0.87749999999999995"/>
    <n v="1"/>
    <x v="3"/>
  </r>
  <r>
    <n v="1100"/>
    <d v="2023-01-20T00:00:00"/>
    <d v="1899-12-30T18:15:00"/>
    <n v="136"/>
    <x v="0"/>
    <x v="0"/>
    <x v="2"/>
    <n v="1"/>
    <n v="30"/>
    <n v="13.2"/>
    <n v="30"/>
    <x v="1"/>
    <n v="1"/>
    <x v="3"/>
    <n v="20"/>
    <x v="3"/>
    <n v="1"/>
    <n v="16.8"/>
    <n v="0.56000000000000005"/>
    <n v="0"/>
    <x v="2"/>
  </r>
  <r>
    <n v="1833"/>
    <d v="2022-01-30T00:00:00"/>
    <d v="1899-12-30T17:20:00"/>
    <n v="56"/>
    <x v="0"/>
    <x v="25"/>
    <x v="1"/>
    <n v="4"/>
    <n v="50"/>
    <n v="18"/>
    <n v="200"/>
    <x v="0"/>
    <n v="1"/>
    <x v="3"/>
    <n v="30"/>
    <x v="5"/>
    <n v="1"/>
    <n v="182"/>
    <n v="0.91"/>
    <n v="1"/>
    <x v="2"/>
  </r>
  <r>
    <n v="542"/>
    <d v="2023-06-01T00:00:00"/>
    <d v="1899-12-30T18:41:00"/>
    <n v="50"/>
    <x v="1"/>
    <x v="36"/>
    <x v="1"/>
    <n v="1"/>
    <n v="50"/>
    <n v="24"/>
    <n v="50"/>
    <x v="1"/>
    <n v="6"/>
    <x v="11"/>
    <n v="1"/>
    <x v="2"/>
    <n v="2"/>
    <n v="26"/>
    <n v="0.52"/>
    <n v="0"/>
    <x v="3"/>
  </r>
  <r>
    <n v="723"/>
    <d v="2022-07-14T00:00:00"/>
    <d v="1899-12-30T21:57:00"/>
    <n v="120"/>
    <x v="1"/>
    <x v="29"/>
    <x v="1"/>
    <n v="4"/>
    <n v="50"/>
    <n v="20.5"/>
    <n v="200"/>
    <x v="0"/>
    <n v="7"/>
    <x v="1"/>
    <n v="14"/>
    <x v="2"/>
    <n v="3"/>
    <n v="179.5"/>
    <n v="0.89749999999999996"/>
    <n v="1"/>
    <x v="1"/>
  </r>
  <r>
    <n v="726"/>
    <d v="2022-06-05T00:00:00"/>
    <d v="1899-12-30T19:37:00"/>
    <n v="72"/>
    <x v="0"/>
    <x v="35"/>
    <x v="0"/>
    <n v="4"/>
    <n v="300"/>
    <n v="126"/>
    <n v="1200"/>
    <x v="0"/>
    <n v="6"/>
    <x v="11"/>
    <n v="5"/>
    <x v="5"/>
    <n v="2"/>
    <n v="1074"/>
    <n v="0.89500000000000002"/>
    <n v="1"/>
    <x v="3"/>
  </r>
  <r>
    <n v="1542"/>
    <d v="2023-05-17T00:00:00"/>
    <d v="1899-12-30T20:30:00"/>
    <n v="147"/>
    <x v="1"/>
    <x v="36"/>
    <x v="1"/>
    <n v="1"/>
    <n v="50"/>
    <n v="14.5"/>
    <n v="50"/>
    <x v="1"/>
    <n v="5"/>
    <x v="7"/>
    <n v="17"/>
    <x v="4"/>
    <n v="2"/>
    <n v="35.5"/>
    <n v="0.71"/>
    <n v="0"/>
    <x v="3"/>
  </r>
  <r>
    <n v="1723"/>
    <d v="2022-02-10T00:00:00"/>
    <d v="1899-12-30T17:43:00"/>
    <n v="40"/>
    <x v="1"/>
    <x v="29"/>
    <x v="1"/>
    <n v="4"/>
    <n v="50"/>
    <n v="18"/>
    <n v="200"/>
    <x v="0"/>
    <n v="2"/>
    <x v="10"/>
    <n v="10"/>
    <x v="2"/>
    <n v="1"/>
    <n v="182"/>
    <n v="0.91"/>
    <n v="1"/>
    <x v="2"/>
  </r>
  <r>
    <n v="1726"/>
    <d v="2023-06-26T00:00:00"/>
    <d v="1899-12-30T18:12:00"/>
    <n v="13"/>
    <x v="0"/>
    <x v="35"/>
    <x v="0"/>
    <n v="4"/>
    <n v="300"/>
    <n v="93"/>
    <n v="1200"/>
    <x v="1"/>
    <n v="6"/>
    <x v="11"/>
    <n v="26"/>
    <x v="1"/>
    <n v="2"/>
    <n v="1107"/>
    <n v="0.92249999999999999"/>
    <n v="1"/>
    <x v="3"/>
  </r>
  <r>
    <n v="488"/>
    <d v="2022-07-05T00:00:00"/>
    <d v="1899-12-30T17:28:00"/>
    <n v="26"/>
    <x v="1"/>
    <x v="12"/>
    <x v="2"/>
    <n v="3"/>
    <n v="300"/>
    <n v="123"/>
    <n v="900"/>
    <x v="0"/>
    <n v="7"/>
    <x v="1"/>
    <n v="5"/>
    <x v="6"/>
    <n v="3"/>
    <n v="777"/>
    <n v="0.86333333300000004"/>
    <n v="1"/>
    <x v="1"/>
  </r>
  <r>
    <n v="1488"/>
    <d v="2022-11-12T00:00:00"/>
    <d v="1899-12-30T19:24:00"/>
    <n v="9"/>
    <x v="1"/>
    <x v="12"/>
    <x v="2"/>
    <n v="3"/>
    <n v="300"/>
    <n v="126"/>
    <n v="900"/>
    <x v="0"/>
    <n v="11"/>
    <x v="0"/>
    <n v="12"/>
    <x v="0"/>
    <n v="4"/>
    <n v="774"/>
    <n v="0.86"/>
    <n v="1"/>
    <x v="0"/>
  </r>
  <r>
    <n v="239"/>
    <d v="2022-09-19T00:00:00"/>
    <d v="1899-12-30T19:34:00"/>
    <n v="1"/>
    <x v="0"/>
    <x v="9"/>
    <x v="2"/>
    <n v="3"/>
    <n v="500"/>
    <n v="165"/>
    <n v="1500"/>
    <x v="0"/>
    <n v="9"/>
    <x v="9"/>
    <n v="19"/>
    <x v="1"/>
    <n v="3"/>
    <n v="1335"/>
    <n v="0.89"/>
    <n v="1"/>
    <x v="1"/>
  </r>
  <r>
    <n v="498"/>
    <d v="2022-03-22T00:00:00"/>
    <d v="1899-12-30T22:20:00"/>
    <n v="41"/>
    <x v="1"/>
    <x v="20"/>
    <x v="0"/>
    <n v="4"/>
    <n v="25"/>
    <n v="8.25"/>
    <n v="100"/>
    <x v="0"/>
    <n v="3"/>
    <x v="8"/>
    <n v="22"/>
    <x v="6"/>
    <n v="1"/>
    <n v="91.75"/>
    <n v="0.91749999999999998"/>
    <n v="0"/>
    <x v="2"/>
  </r>
  <r>
    <n v="532"/>
    <d v="2022-08-15T00:00:00"/>
    <d v="1899-12-30T18:04:00"/>
    <n v="92"/>
    <x v="1"/>
    <x v="3"/>
    <x v="0"/>
    <n v="4"/>
    <n v="30"/>
    <n v="12.9"/>
    <n v="120"/>
    <x v="0"/>
    <n v="8"/>
    <x v="4"/>
    <n v="15"/>
    <x v="1"/>
    <n v="3"/>
    <n v="107.1"/>
    <n v="0.89249999999999996"/>
    <n v="0"/>
    <x v="1"/>
  </r>
  <r>
    <n v="669"/>
    <d v="2022-01-23T00:00:00"/>
    <d v="1899-12-30T20:24:00"/>
    <n v="110"/>
    <x v="0"/>
    <x v="24"/>
    <x v="1"/>
    <n v="4"/>
    <n v="300"/>
    <n v="87"/>
    <n v="1200"/>
    <x v="0"/>
    <n v="1"/>
    <x v="3"/>
    <n v="23"/>
    <x v="5"/>
    <n v="1"/>
    <n v="1113"/>
    <n v="0.92749999999999999"/>
    <n v="1"/>
    <x v="2"/>
  </r>
  <r>
    <n v="877"/>
    <d v="2022-10-01T00:00:00"/>
    <d v="1899-12-30T19:52:00"/>
    <n v="134"/>
    <x v="1"/>
    <x v="43"/>
    <x v="0"/>
    <n v="1"/>
    <n v="25"/>
    <n v="6.75"/>
    <n v="25"/>
    <x v="0"/>
    <n v="10"/>
    <x v="5"/>
    <n v="1"/>
    <x v="0"/>
    <n v="4"/>
    <n v="18.25"/>
    <n v="0.73"/>
    <n v="0"/>
    <x v="0"/>
  </r>
  <r>
    <n v="1239"/>
    <d v="2022-07-08T00:00:00"/>
    <d v="1899-12-30T20:42:00"/>
    <n v="134"/>
    <x v="0"/>
    <x v="9"/>
    <x v="2"/>
    <n v="3"/>
    <n v="500"/>
    <n v="255"/>
    <n v="1500"/>
    <x v="0"/>
    <n v="7"/>
    <x v="1"/>
    <n v="8"/>
    <x v="3"/>
    <n v="3"/>
    <n v="1245"/>
    <n v="0.83"/>
    <n v="1"/>
    <x v="1"/>
  </r>
  <r>
    <n v="1498"/>
    <d v="2022-08-29T00:00:00"/>
    <d v="1899-12-30T17:08:00"/>
    <n v="51"/>
    <x v="1"/>
    <x v="20"/>
    <x v="0"/>
    <n v="4"/>
    <n v="25"/>
    <n v="12.5"/>
    <n v="100"/>
    <x v="0"/>
    <n v="8"/>
    <x v="4"/>
    <n v="29"/>
    <x v="1"/>
    <n v="3"/>
    <n v="87.5"/>
    <n v="0.875"/>
    <n v="0"/>
    <x v="1"/>
  </r>
  <r>
    <n v="1532"/>
    <d v="2022-03-23T00:00:00"/>
    <d v="1899-12-30T22:48:00"/>
    <n v="51"/>
    <x v="1"/>
    <x v="3"/>
    <x v="0"/>
    <n v="4"/>
    <n v="30"/>
    <n v="15.6"/>
    <n v="120"/>
    <x v="0"/>
    <n v="3"/>
    <x v="8"/>
    <n v="23"/>
    <x v="4"/>
    <n v="1"/>
    <n v="104.4"/>
    <n v="0.87"/>
    <n v="0"/>
    <x v="2"/>
  </r>
  <r>
    <n v="1669"/>
    <d v="2022-08-04T00:00:00"/>
    <d v="1899-12-30T22:28:00"/>
    <n v="83"/>
    <x v="0"/>
    <x v="24"/>
    <x v="1"/>
    <n v="4"/>
    <n v="300"/>
    <n v="123"/>
    <n v="1200"/>
    <x v="0"/>
    <n v="8"/>
    <x v="4"/>
    <n v="4"/>
    <x v="2"/>
    <n v="3"/>
    <n v="1077"/>
    <n v="0.89749999999999996"/>
    <n v="1"/>
    <x v="1"/>
  </r>
  <r>
    <n v="1877"/>
    <d v="2023-01-25T00:00:00"/>
    <d v="1899-12-30T20:19:00"/>
    <n v="72"/>
    <x v="1"/>
    <x v="43"/>
    <x v="0"/>
    <n v="1"/>
    <n v="25"/>
    <n v="10.5"/>
    <n v="25"/>
    <x v="1"/>
    <n v="1"/>
    <x v="3"/>
    <n v="25"/>
    <x v="4"/>
    <n v="1"/>
    <n v="14.5"/>
    <n v="0.57999999999999996"/>
    <n v="0"/>
    <x v="2"/>
  </r>
  <r>
    <n v="422"/>
    <d v="2022-08-21T00:00:00"/>
    <d v="1899-12-30T22:34:00"/>
    <n v="67"/>
    <x v="1"/>
    <x v="32"/>
    <x v="0"/>
    <n v="3"/>
    <n v="30"/>
    <n v="13.2"/>
    <n v="90"/>
    <x v="0"/>
    <n v="8"/>
    <x v="4"/>
    <n v="21"/>
    <x v="5"/>
    <n v="3"/>
    <n v="76.8"/>
    <n v="0.85333333300000003"/>
    <n v="0"/>
    <x v="1"/>
  </r>
  <r>
    <n v="466"/>
    <d v="2023-01-11T00:00:00"/>
    <d v="1899-12-30T21:52:00"/>
    <n v="66"/>
    <x v="0"/>
    <x v="15"/>
    <x v="2"/>
    <n v="4"/>
    <n v="25"/>
    <n v="13.75"/>
    <n v="100"/>
    <x v="1"/>
    <n v="1"/>
    <x v="3"/>
    <n v="11"/>
    <x v="4"/>
    <n v="1"/>
    <n v="86.25"/>
    <n v="0.86250000000000004"/>
    <n v="0"/>
    <x v="2"/>
  </r>
  <r>
    <n v="1422"/>
    <d v="2022-05-07T00:00:00"/>
    <d v="1899-12-30T20:41:00"/>
    <n v="35"/>
    <x v="1"/>
    <x v="32"/>
    <x v="0"/>
    <n v="3"/>
    <n v="30"/>
    <n v="13.5"/>
    <n v="90"/>
    <x v="0"/>
    <n v="5"/>
    <x v="7"/>
    <n v="7"/>
    <x v="0"/>
    <n v="2"/>
    <n v="76.5"/>
    <n v="0.85"/>
    <n v="0"/>
    <x v="3"/>
  </r>
  <r>
    <n v="1466"/>
    <d v="2023-01-16T00:00:00"/>
    <d v="1899-12-30T22:27:00"/>
    <n v="64"/>
    <x v="0"/>
    <x v="15"/>
    <x v="2"/>
    <n v="4"/>
    <n v="25"/>
    <n v="10.75"/>
    <n v="100"/>
    <x v="1"/>
    <n v="1"/>
    <x v="3"/>
    <n v="16"/>
    <x v="1"/>
    <n v="1"/>
    <n v="89.25"/>
    <n v="0.89249999999999996"/>
    <n v="0"/>
    <x v="2"/>
  </r>
  <r>
    <n v="583"/>
    <d v="2022-01-28T00:00:00"/>
    <d v="1899-12-30T19:44:00"/>
    <n v="131"/>
    <x v="1"/>
    <x v="24"/>
    <x v="2"/>
    <n v="4"/>
    <n v="25"/>
    <n v="7.75"/>
    <n v="100"/>
    <x v="0"/>
    <n v="1"/>
    <x v="3"/>
    <n v="28"/>
    <x v="3"/>
    <n v="1"/>
    <n v="92.25"/>
    <n v="0.92249999999999999"/>
    <n v="0"/>
    <x v="2"/>
  </r>
  <r>
    <n v="654"/>
    <d v="2023-08-14T00:00:00"/>
    <d v="1899-12-30T17:40:00"/>
    <n v="92"/>
    <x v="0"/>
    <x v="25"/>
    <x v="0"/>
    <n v="3"/>
    <n v="25"/>
    <n v="9.25"/>
    <n v="75"/>
    <x v="1"/>
    <n v="8"/>
    <x v="4"/>
    <n v="14"/>
    <x v="1"/>
    <n v="3"/>
    <n v="65.75"/>
    <n v="0.87666666699999996"/>
    <n v="0"/>
    <x v="1"/>
  </r>
  <r>
    <n v="1583"/>
    <d v="2023-11-12T00:00:00"/>
    <d v="1899-12-30T22:54:00"/>
    <n v="102"/>
    <x v="1"/>
    <x v="24"/>
    <x v="2"/>
    <n v="4"/>
    <n v="25"/>
    <n v="13"/>
    <n v="100"/>
    <x v="1"/>
    <n v="11"/>
    <x v="0"/>
    <n v="12"/>
    <x v="5"/>
    <n v="4"/>
    <n v="87"/>
    <n v="0.87"/>
    <n v="0"/>
    <x v="0"/>
  </r>
  <r>
    <n v="1654"/>
    <d v="2023-10-13T00:00:00"/>
    <d v="1899-12-30T20:47:00"/>
    <n v="111"/>
    <x v="0"/>
    <x v="25"/>
    <x v="0"/>
    <n v="3"/>
    <n v="25"/>
    <n v="6.25"/>
    <n v="75"/>
    <x v="1"/>
    <n v="10"/>
    <x v="5"/>
    <n v="13"/>
    <x v="3"/>
    <n v="4"/>
    <n v="68.75"/>
    <n v="0.91666666699999999"/>
    <n v="0"/>
    <x v="0"/>
  </r>
  <r>
    <n v="40"/>
    <d v="2022-06-07T00:00:00"/>
    <d v="1899-12-30T21:33:00"/>
    <n v="78"/>
    <x v="0"/>
    <x v="14"/>
    <x v="1"/>
    <n v="1"/>
    <n v="50"/>
    <n v="24.5"/>
    <n v="50"/>
    <x v="0"/>
    <n v="6"/>
    <x v="11"/>
    <n v="7"/>
    <x v="6"/>
    <n v="2"/>
    <n v="25.5"/>
    <n v="0.51"/>
    <n v="0"/>
    <x v="3"/>
  </r>
  <r>
    <n v="699"/>
    <d v="2022-11-21T00:00:00"/>
    <d v="1899-12-30T22:21:00"/>
    <n v="129"/>
    <x v="1"/>
    <x v="5"/>
    <x v="0"/>
    <n v="4"/>
    <n v="30"/>
    <n v="16.2"/>
    <n v="120"/>
    <x v="0"/>
    <n v="11"/>
    <x v="0"/>
    <n v="21"/>
    <x v="1"/>
    <n v="4"/>
    <n v="103.8"/>
    <n v="0.86499999999999999"/>
    <n v="0"/>
    <x v="0"/>
  </r>
  <r>
    <n v="727"/>
    <d v="2023-11-15T00:00:00"/>
    <d v="1899-12-30T18:37:00"/>
    <n v="32"/>
    <x v="0"/>
    <x v="46"/>
    <x v="1"/>
    <n v="3"/>
    <n v="300"/>
    <n v="105"/>
    <n v="900"/>
    <x v="1"/>
    <n v="11"/>
    <x v="0"/>
    <n v="15"/>
    <x v="4"/>
    <n v="4"/>
    <n v="795"/>
    <n v="0.88333333300000005"/>
    <n v="1"/>
    <x v="0"/>
  </r>
  <r>
    <n v="830"/>
    <d v="2022-09-29T00:00:00"/>
    <d v="1899-12-30T20:19:00"/>
    <n v="77"/>
    <x v="1"/>
    <x v="3"/>
    <x v="0"/>
    <n v="3"/>
    <n v="50"/>
    <n v="18.5"/>
    <n v="150"/>
    <x v="0"/>
    <n v="9"/>
    <x v="9"/>
    <n v="29"/>
    <x v="2"/>
    <n v="3"/>
    <n v="131.5"/>
    <n v="0.87666666699999996"/>
    <n v="1"/>
    <x v="1"/>
  </r>
  <r>
    <n v="1040"/>
    <d v="2023-12-12T00:00:00"/>
    <d v="1899-12-30T21:24:00"/>
    <n v="112"/>
    <x v="0"/>
    <x v="14"/>
    <x v="1"/>
    <n v="1"/>
    <n v="50"/>
    <n v="21"/>
    <n v="50"/>
    <x v="1"/>
    <n v="12"/>
    <x v="2"/>
    <n v="12"/>
    <x v="6"/>
    <n v="4"/>
    <n v="29"/>
    <n v="0.57999999999999996"/>
    <n v="0"/>
    <x v="0"/>
  </r>
  <r>
    <n v="1699"/>
    <d v="2023-07-29T00:00:00"/>
    <d v="1899-12-30T21:45:00"/>
    <n v="23"/>
    <x v="1"/>
    <x v="5"/>
    <x v="0"/>
    <n v="4"/>
    <n v="30"/>
    <n v="12.9"/>
    <n v="120"/>
    <x v="1"/>
    <n v="7"/>
    <x v="1"/>
    <n v="29"/>
    <x v="0"/>
    <n v="3"/>
    <n v="107.1"/>
    <n v="0.89249999999999996"/>
    <n v="0"/>
    <x v="1"/>
  </r>
  <r>
    <n v="1727"/>
    <d v="2023-08-08T00:00:00"/>
    <d v="1899-12-30T21:06:00"/>
    <n v="72"/>
    <x v="0"/>
    <x v="46"/>
    <x v="1"/>
    <n v="3"/>
    <n v="300"/>
    <n v="75"/>
    <n v="900"/>
    <x v="1"/>
    <n v="8"/>
    <x v="4"/>
    <n v="8"/>
    <x v="6"/>
    <n v="3"/>
    <n v="825"/>
    <n v="0.91666666699999999"/>
    <n v="1"/>
    <x v="1"/>
  </r>
  <r>
    <n v="1830"/>
    <d v="2023-03-04T00:00:00"/>
    <d v="1899-12-30T18:04:00"/>
    <n v="87"/>
    <x v="1"/>
    <x v="3"/>
    <x v="0"/>
    <n v="3"/>
    <n v="50"/>
    <n v="21"/>
    <n v="150"/>
    <x v="1"/>
    <n v="3"/>
    <x v="8"/>
    <n v="4"/>
    <x v="0"/>
    <n v="1"/>
    <n v="129"/>
    <n v="0.86"/>
    <n v="1"/>
    <x v="2"/>
  </r>
  <r>
    <n v="224"/>
    <d v="2022-11-11T00:00:00"/>
    <d v="1899-12-30T21:32:00"/>
    <n v="99"/>
    <x v="1"/>
    <x v="38"/>
    <x v="0"/>
    <n v="1"/>
    <n v="50"/>
    <n v="24"/>
    <n v="50"/>
    <x v="0"/>
    <n v="11"/>
    <x v="0"/>
    <n v="11"/>
    <x v="3"/>
    <n v="4"/>
    <n v="26"/>
    <n v="0.52"/>
    <n v="0"/>
    <x v="0"/>
  </r>
  <r>
    <n v="271"/>
    <d v="2023-09-12T00:00:00"/>
    <d v="1899-12-30T18:23:00"/>
    <n v="44"/>
    <x v="1"/>
    <x v="44"/>
    <x v="1"/>
    <n v="4"/>
    <n v="30"/>
    <n v="9.3000000000000007"/>
    <n v="120"/>
    <x v="1"/>
    <n v="9"/>
    <x v="9"/>
    <n v="12"/>
    <x v="6"/>
    <n v="3"/>
    <n v="110.7"/>
    <n v="0.92249999999999999"/>
    <n v="0"/>
    <x v="1"/>
  </r>
  <r>
    <n v="1224"/>
    <d v="2022-01-20T00:00:00"/>
    <d v="1899-12-30T17:10:00"/>
    <n v="103"/>
    <x v="1"/>
    <x v="38"/>
    <x v="0"/>
    <n v="1"/>
    <n v="50"/>
    <n v="20"/>
    <n v="50"/>
    <x v="0"/>
    <n v="1"/>
    <x v="3"/>
    <n v="20"/>
    <x v="2"/>
    <n v="1"/>
    <n v="30"/>
    <n v="0.6"/>
    <n v="0"/>
    <x v="2"/>
  </r>
  <r>
    <n v="1271"/>
    <d v="2022-01-19T00:00:00"/>
    <d v="1899-12-30T19:31:00"/>
    <n v="27"/>
    <x v="1"/>
    <x v="44"/>
    <x v="1"/>
    <n v="4"/>
    <n v="30"/>
    <n v="9"/>
    <n v="120"/>
    <x v="0"/>
    <n v="1"/>
    <x v="3"/>
    <n v="19"/>
    <x v="4"/>
    <n v="1"/>
    <n v="111"/>
    <n v="0.92500000000000004"/>
    <n v="0"/>
    <x v="2"/>
  </r>
  <r>
    <n v="36"/>
    <d v="2023-02-22T00:00:00"/>
    <d v="1899-12-30T22:06:00"/>
    <n v="40"/>
    <x v="0"/>
    <x v="41"/>
    <x v="1"/>
    <n v="3"/>
    <n v="300"/>
    <n v="144"/>
    <n v="900"/>
    <x v="1"/>
    <n v="2"/>
    <x v="10"/>
    <n v="22"/>
    <x v="4"/>
    <n v="1"/>
    <n v="756"/>
    <n v="0.84"/>
    <n v="1"/>
    <x v="2"/>
  </r>
  <r>
    <n v="157"/>
    <d v="2022-05-15T00:00:00"/>
    <d v="1899-12-30T21:59:00"/>
    <n v="98"/>
    <x v="0"/>
    <x v="44"/>
    <x v="2"/>
    <n v="4"/>
    <n v="500"/>
    <n v="170"/>
    <n v="2000"/>
    <x v="0"/>
    <n v="5"/>
    <x v="7"/>
    <n v="15"/>
    <x v="5"/>
    <n v="2"/>
    <n v="1830"/>
    <n v="0.91500000000000004"/>
    <n v="1"/>
    <x v="3"/>
  </r>
  <r>
    <n v="796"/>
    <d v="2022-10-01T00:00:00"/>
    <d v="1899-12-30T19:50:00"/>
    <n v="38"/>
    <x v="0"/>
    <x v="22"/>
    <x v="1"/>
    <n v="4"/>
    <n v="30"/>
    <n v="7.8"/>
    <n v="120"/>
    <x v="0"/>
    <n v="10"/>
    <x v="5"/>
    <n v="1"/>
    <x v="0"/>
    <n v="4"/>
    <n v="112.2"/>
    <n v="0.93500000000000005"/>
    <n v="0"/>
    <x v="0"/>
  </r>
  <r>
    <n v="839"/>
    <d v="2023-11-11T00:00:00"/>
    <d v="1899-12-30T21:02:00"/>
    <n v="130"/>
    <x v="1"/>
    <x v="36"/>
    <x v="2"/>
    <n v="4"/>
    <n v="300"/>
    <n v="96"/>
    <n v="1200"/>
    <x v="1"/>
    <n v="11"/>
    <x v="0"/>
    <n v="11"/>
    <x v="0"/>
    <n v="4"/>
    <n v="1104"/>
    <n v="0.92"/>
    <n v="1"/>
    <x v="0"/>
  </r>
  <r>
    <n v="927"/>
    <d v="2022-02-21T00:00:00"/>
    <d v="1899-12-30T17:13:00"/>
    <n v="83"/>
    <x v="0"/>
    <x v="22"/>
    <x v="2"/>
    <n v="4"/>
    <n v="500"/>
    <n v="250"/>
    <n v="2000"/>
    <x v="0"/>
    <n v="2"/>
    <x v="10"/>
    <n v="21"/>
    <x v="1"/>
    <n v="1"/>
    <n v="1750"/>
    <n v="0.875"/>
    <n v="1"/>
    <x v="2"/>
  </r>
  <r>
    <n v="1036"/>
    <d v="2022-08-17T00:00:00"/>
    <d v="1899-12-30T18:03:00"/>
    <n v="121"/>
    <x v="0"/>
    <x v="41"/>
    <x v="1"/>
    <n v="3"/>
    <n v="300"/>
    <n v="117"/>
    <n v="900"/>
    <x v="0"/>
    <n v="8"/>
    <x v="4"/>
    <n v="17"/>
    <x v="4"/>
    <n v="3"/>
    <n v="783"/>
    <n v="0.87"/>
    <n v="1"/>
    <x v="1"/>
  </r>
  <r>
    <n v="1157"/>
    <d v="2022-12-23T00:00:00"/>
    <d v="1899-12-30T21:24:00"/>
    <n v="81"/>
    <x v="0"/>
    <x v="44"/>
    <x v="2"/>
    <n v="4"/>
    <n v="500"/>
    <n v="270"/>
    <n v="2000"/>
    <x v="0"/>
    <n v="12"/>
    <x v="2"/>
    <n v="23"/>
    <x v="3"/>
    <n v="4"/>
    <n v="1730"/>
    <n v="0.86499999999999999"/>
    <n v="1"/>
    <x v="0"/>
  </r>
  <r>
    <n v="1796"/>
    <d v="2023-11-12T00:00:00"/>
    <d v="1899-12-30T18:36:00"/>
    <n v="69"/>
    <x v="0"/>
    <x v="22"/>
    <x v="1"/>
    <n v="4"/>
    <n v="30"/>
    <n v="11.1"/>
    <n v="120"/>
    <x v="1"/>
    <n v="11"/>
    <x v="0"/>
    <n v="12"/>
    <x v="5"/>
    <n v="4"/>
    <n v="108.9"/>
    <n v="0.90749999999999997"/>
    <n v="0"/>
    <x v="0"/>
  </r>
  <r>
    <n v="1839"/>
    <d v="2022-08-28T00:00:00"/>
    <d v="1899-12-30T21:57:00"/>
    <n v="92"/>
    <x v="1"/>
    <x v="36"/>
    <x v="2"/>
    <n v="4"/>
    <n v="300"/>
    <n v="156"/>
    <n v="1200"/>
    <x v="0"/>
    <n v="8"/>
    <x v="4"/>
    <n v="28"/>
    <x v="5"/>
    <n v="3"/>
    <n v="1044"/>
    <n v="0.87"/>
    <n v="1"/>
    <x v="1"/>
  </r>
  <r>
    <n v="1927"/>
    <d v="2023-09-06T00:00:00"/>
    <d v="1899-12-30T19:44:00"/>
    <n v="46"/>
    <x v="0"/>
    <x v="22"/>
    <x v="2"/>
    <n v="4"/>
    <n v="500"/>
    <n v="180"/>
    <n v="2000"/>
    <x v="1"/>
    <n v="9"/>
    <x v="9"/>
    <n v="6"/>
    <x v="4"/>
    <n v="3"/>
    <n v="1820"/>
    <n v="0.91"/>
    <n v="1"/>
    <x v="1"/>
  </r>
  <r>
    <n v="407"/>
    <d v="2022-07-16T00:00:00"/>
    <d v="1899-12-30T22:17:00"/>
    <n v="117"/>
    <x v="1"/>
    <x v="1"/>
    <x v="2"/>
    <n v="3"/>
    <n v="300"/>
    <n v="138"/>
    <n v="900"/>
    <x v="0"/>
    <n v="7"/>
    <x v="1"/>
    <n v="16"/>
    <x v="0"/>
    <n v="3"/>
    <n v="762"/>
    <n v="0.84666666700000004"/>
    <n v="1"/>
    <x v="1"/>
  </r>
  <r>
    <n v="1407"/>
    <d v="2022-04-10T00:00:00"/>
    <d v="1899-12-30T19:41:00"/>
    <n v="54"/>
    <x v="1"/>
    <x v="1"/>
    <x v="2"/>
    <n v="3"/>
    <n v="300"/>
    <n v="120"/>
    <n v="900"/>
    <x v="0"/>
    <n v="4"/>
    <x v="6"/>
    <n v="10"/>
    <x v="5"/>
    <n v="2"/>
    <n v="780"/>
    <n v="0.86666666699999995"/>
    <n v="1"/>
    <x v="3"/>
  </r>
  <r>
    <n v="46"/>
    <d v="2022-11-08T00:00:00"/>
    <d v="1899-12-30T17:50:00"/>
    <n v="54"/>
    <x v="1"/>
    <x v="36"/>
    <x v="2"/>
    <n v="4"/>
    <n v="300"/>
    <n v="84"/>
    <n v="1200"/>
    <x v="0"/>
    <n v="11"/>
    <x v="0"/>
    <n v="8"/>
    <x v="6"/>
    <n v="4"/>
    <n v="1116"/>
    <n v="0.93"/>
    <n v="1"/>
    <x v="0"/>
  </r>
  <r>
    <n v="509"/>
    <d v="2023-07-10T00:00:00"/>
    <d v="1899-12-30T19:35:00"/>
    <n v="70"/>
    <x v="1"/>
    <x v="5"/>
    <x v="2"/>
    <n v="3"/>
    <n v="300"/>
    <n v="141"/>
    <n v="900"/>
    <x v="1"/>
    <n v="7"/>
    <x v="1"/>
    <n v="10"/>
    <x v="1"/>
    <n v="3"/>
    <n v="759"/>
    <n v="0.84333333300000002"/>
    <n v="1"/>
    <x v="1"/>
  </r>
  <r>
    <n v="874"/>
    <d v="2022-01-17T00:00:00"/>
    <d v="1899-12-30T18:14:00"/>
    <n v="90"/>
    <x v="0"/>
    <x v="13"/>
    <x v="1"/>
    <n v="1"/>
    <n v="30"/>
    <n v="12.6"/>
    <n v="30"/>
    <x v="0"/>
    <n v="1"/>
    <x v="3"/>
    <n v="17"/>
    <x v="1"/>
    <n v="1"/>
    <n v="17.399999999999999"/>
    <n v="0.57999999999999996"/>
    <n v="0"/>
    <x v="2"/>
  </r>
  <r>
    <n v="1046"/>
    <d v="2023-07-21T00:00:00"/>
    <d v="1899-12-30T21:47:00"/>
    <n v="5"/>
    <x v="1"/>
    <x v="36"/>
    <x v="2"/>
    <n v="4"/>
    <n v="300"/>
    <n v="156"/>
    <n v="1200"/>
    <x v="1"/>
    <n v="7"/>
    <x v="1"/>
    <n v="21"/>
    <x v="3"/>
    <n v="3"/>
    <n v="1044"/>
    <n v="0.87"/>
    <n v="1"/>
    <x v="1"/>
  </r>
  <r>
    <n v="1509"/>
    <d v="2022-11-25T00:00:00"/>
    <d v="1899-12-30T20:40:00"/>
    <n v="67"/>
    <x v="1"/>
    <x v="5"/>
    <x v="2"/>
    <n v="3"/>
    <n v="300"/>
    <n v="129"/>
    <n v="900"/>
    <x v="0"/>
    <n v="11"/>
    <x v="0"/>
    <n v="25"/>
    <x v="3"/>
    <n v="4"/>
    <n v="771"/>
    <n v="0.85666666700000005"/>
    <n v="1"/>
    <x v="0"/>
  </r>
  <r>
    <n v="1874"/>
    <d v="2022-05-14T00:00:00"/>
    <d v="1899-12-30T20:58:00"/>
    <n v="126"/>
    <x v="0"/>
    <x v="13"/>
    <x v="1"/>
    <n v="1"/>
    <n v="30"/>
    <n v="12.6"/>
    <n v="30"/>
    <x v="0"/>
    <n v="5"/>
    <x v="7"/>
    <n v="14"/>
    <x v="0"/>
    <n v="2"/>
    <n v="17.399999999999999"/>
    <n v="0.57999999999999996"/>
    <n v="0"/>
    <x v="3"/>
  </r>
  <r>
    <n v="788"/>
    <d v="2022-06-20T00:00:00"/>
    <d v="1899-12-30T18:54:00"/>
    <n v="90"/>
    <x v="1"/>
    <x v="41"/>
    <x v="1"/>
    <n v="3"/>
    <n v="300"/>
    <n v="105"/>
    <n v="900"/>
    <x v="0"/>
    <n v="6"/>
    <x v="11"/>
    <n v="20"/>
    <x v="1"/>
    <n v="2"/>
    <n v="795"/>
    <n v="0.88333333300000005"/>
    <n v="1"/>
    <x v="3"/>
  </r>
  <r>
    <n v="1788"/>
    <d v="2022-05-03T00:00:00"/>
    <d v="1899-12-30T20:35:00"/>
    <n v="98"/>
    <x v="1"/>
    <x v="41"/>
    <x v="1"/>
    <n v="3"/>
    <n v="300"/>
    <n v="150"/>
    <n v="900"/>
    <x v="0"/>
    <n v="5"/>
    <x v="7"/>
    <n v="3"/>
    <x v="6"/>
    <n v="2"/>
    <n v="750"/>
    <n v="0.83333333300000001"/>
    <n v="1"/>
    <x v="3"/>
  </r>
  <r>
    <n v="378"/>
    <d v="2022-11-03T00:00:00"/>
    <d v="1899-12-30T18:16:00"/>
    <n v="81"/>
    <x v="0"/>
    <x v="20"/>
    <x v="1"/>
    <n v="1"/>
    <n v="300"/>
    <n v="165"/>
    <n v="300"/>
    <x v="0"/>
    <n v="11"/>
    <x v="0"/>
    <n v="3"/>
    <x v="2"/>
    <n v="4"/>
    <n v="135"/>
    <n v="0.45"/>
    <n v="1"/>
    <x v="0"/>
  </r>
  <r>
    <n v="1378"/>
    <d v="2022-04-28T00:00:00"/>
    <d v="1899-12-30T21:56:00"/>
    <n v="27"/>
    <x v="0"/>
    <x v="20"/>
    <x v="1"/>
    <n v="1"/>
    <n v="300"/>
    <n v="132"/>
    <n v="300"/>
    <x v="0"/>
    <n v="4"/>
    <x v="6"/>
    <n v="28"/>
    <x v="2"/>
    <n v="2"/>
    <n v="168"/>
    <n v="0.56000000000000005"/>
    <n v="1"/>
    <x v="3"/>
  </r>
  <r>
    <n v="480"/>
    <d v="2022-12-22T00:00:00"/>
    <d v="1899-12-30T22:12:00"/>
    <n v="126"/>
    <x v="1"/>
    <x v="25"/>
    <x v="1"/>
    <n v="4"/>
    <n v="500"/>
    <n v="225"/>
    <n v="2000"/>
    <x v="0"/>
    <n v="12"/>
    <x v="2"/>
    <n v="22"/>
    <x v="2"/>
    <n v="4"/>
    <n v="1775"/>
    <n v="0.88749999999999996"/>
    <n v="1"/>
    <x v="0"/>
  </r>
  <r>
    <n v="492"/>
    <d v="2023-12-16T00:00:00"/>
    <d v="1899-12-30T17:52:00"/>
    <n v="4"/>
    <x v="0"/>
    <x v="45"/>
    <x v="1"/>
    <n v="4"/>
    <n v="25"/>
    <n v="6.5"/>
    <n v="100"/>
    <x v="1"/>
    <n v="12"/>
    <x v="2"/>
    <n v="16"/>
    <x v="0"/>
    <n v="4"/>
    <n v="93.5"/>
    <n v="0.93500000000000005"/>
    <n v="0"/>
    <x v="0"/>
  </r>
  <r>
    <n v="737"/>
    <d v="2023-03-23T00:00:00"/>
    <d v="1899-12-30T21:11:00"/>
    <n v="26"/>
    <x v="1"/>
    <x v="19"/>
    <x v="0"/>
    <n v="1"/>
    <n v="50"/>
    <n v="14"/>
    <n v="50"/>
    <x v="1"/>
    <n v="3"/>
    <x v="8"/>
    <n v="23"/>
    <x v="2"/>
    <n v="1"/>
    <n v="36"/>
    <n v="0.72"/>
    <n v="0"/>
    <x v="2"/>
  </r>
  <r>
    <n v="1480"/>
    <d v="2023-11-26T00:00:00"/>
    <d v="1899-12-30T18:05:00"/>
    <n v="3"/>
    <x v="1"/>
    <x v="25"/>
    <x v="1"/>
    <n v="4"/>
    <n v="500"/>
    <n v="165"/>
    <n v="2000"/>
    <x v="1"/>
    <n v="11"/>
    <x v="0"/>
    <n v="26"/>
    <x v="5"/>
    <n v="4"/>
    <n v="1835"/>
    <n v="0.91749999999999998"/>
    <n v="1"/>
    <x v="0"/>
  </r>
  <r>
    <n v="1492"/>
    <d v="2023-08-26T00:00:00"/>
    <d v="1899-12-30T22:09:00"/>
    <n v="146"/>
    <x v="0"/>
    <x v="45"/>
    <x v="1"/>
    <n v="4"/>
    <n v="25"/>
    <n v="10"/>
    <n v="100"/>
    <x v="1"/>
    <n v="8"/>
    <x v="4"/>
    <n v="26"/>
    <x v="0"/>
    <n v="3"/>
    <n v="90"/>
    <n v="0.9"/>
    <n v="0"/>
    <x v="1"/>
  </r>
  <r>
    <n v="1737"/>
    <d v="2022-11-14T00:00:00"/>
    <d v="1899-12-30T22:32:00"/>
    <n v="40"/>
    <x v="1"/>
    <x v="19"/>
    <x v="0"/>
    <n v="1"/>
    <n v="50"/>
    <n v="14"/>
    <n v="50"/>
    <x v="0"/>
    <n v="11"/>
    <x v="0"/>
    <n v="14"/>
    <x v="1"/>
    <n v="4"/>
    <n v="36"/>
    <n v="0.72"/>
    <n v="0"/>
    <x v="0"/>
  </r>
  <r>
    <n v="684"/>
    <d v="2023-06-20T00:00:00"/>
    <d v="1899-12-30T18:02:00"/>
    <n v="54"/>
    <x v="1"/>
    <x v="32"/>
    <x v="0"/>
    <n v="2"/>
    <n v="500"/>
    <n v="225"/>
    <n v="1000"/>
    <x v="1"/>
    <n v="6"/>
    <x v="11"/>
    <n v="20"/>
    <x v="6"/>
    <n v="2"/>
    <n v="775"/>
    <n v="0.77500000000000002"/>
    <n v="1"/>
    <x v="3"/>
  </r>
  <r>
    <n v="878"/>
    <d v="2023-10-26T00:00:00"/>
    <d v="1899-12-30T18:53:00"/>
    <n v="31"/>
    <x v="1"/>
    <x v="36"/>
    <x v="0"/>
    <n v="1"/>
    <n v="30"/>
    <n v="11.7"/>
    <n v="30"/>
    <x v="1"/>
    <n v="10"/>
    <x v="5"/>
    <n v="26"/>
    <x v="2"/>
    <n v="4"/>
    <n v="18.3"/>
    <n v="0.61"/>
    <n v="0"/>
    <x v="0"/>
  </r>
  <r>
    <n v="1684"/>
    <d v="2023-01-23T00:00:00"/>
    <d v="1899-12-30T21:40:00"/>
    <n v="43"/>
    <x v="1"/>
    <x v="32"/>
    <x v="0"/>
    <n v="2"/>
    <n v="500"/>
    <n v="200"/>
    <n v="1000"/>
    <x v="1"/>
    <n v="1"/>
    <x v="3"/>
    <n v="23"/>
    <x v="1"/>
    <n v="1"/>
    <n v="800"/>
    <n v="0.8"/>
    <n v="1"/>
    <x v="2"/>
  </r>
  <r>
    <n v="1878"/>
    <d v="2023-01-24T00:00:00"/>
    <d v="1899-12-30T22:56:00"/>
    <n v="97"/>
    <x v="1"/>
    <x v="36"/>
    <x v="0"/>
    <n v="1"/>
    <n v="30"/>
    <n v="7.5"/>
    <n v="30"/>
    <x v="1"/>
    <n v="1"/>
    <x v="3"/>
    <n v="24"/>
    <x v="6"/>
    <n v="1"/>
    <n v="22.5"/>
    <n v="0.75"/>
    <n v="0"/>
    <x v="2"/>
  </r>
  <r>
    <n v="78"/>
    <d v="2023-02-17T00:00:00"/>
    <d v="1899-12-30T21:08:00"/>
    <n v="68"/>
    <x v="1"/>
    <x v="35"/>
    <x v="0"/>
    <n v="3"/>
    <n v="500"/>
    <n v="265"/>
    <n v="1500"/>
    <x v="1"/>
    <n v="2"/>
    <x v="10"/>
    <n v="17"/>
    <x v="3"/>
    <n v="1"/>
    <n v="1235"/>
    <n v="0.823333333"/>
    <n v="1"/>
    <x v="2"/>
  </r>
  <r>
    <n v="260"/>
    <d v="2023-01-19T00:00:00"/>
    <d v="1899-12-30T21:09:00"/>
    <n v="107"/>
    <x v="0"/>
    <x v="32"/>
    <x v="1"/>
    <n v="2"/>
    <n v="30"/>
    <n v="10.5"/>
    <n v="60"/>
    <x v="1"/>
    <n v="1"/>
    <x v="3"/>
    <n v="19"/>
    <x v="2"/>
    <n v="1"/>
    <n v="49.5"/>
    <n v="0.82499999999999996"/>
    <n v="0"/>
    <x v="2"/>
  </r>
  <r>
    <n v="455"/>
    <d v="2023-11-21T00:00:00"/>
    <d v="1899-12-30T19:15:00"/>
    <n v="134"/>
    <x v="0"/>
    <x v="16"/>
    <x v="2"/>
    <n v="4"/>
    <n v="25"/>
    <n v="13.25"/>
    <n v="100"/>
    <x v="1"/>
    <n v="11"/>
    <x v="0"/>
    <n v="21"/>
    <x v="6"/>
    <n v="4"/>
    <n v="86.75"/>
    <n v="0.86750000000000005"/>
    <n v="0"/>
    <x v="0"/>
  </r>
  <r>
    <n v="837"/>
    <d v="2023-01-15T00:00:00"/>
    <d v="1899-12-30T20:35:00"/>
    <n v="53"/>
    <x v="0"/>
    <x v="18"/>
    <x v="1"/>
    <n v="3"/>
    <n v="30"/>
    <n v="7.5"/>
    <n v="90"/>
    <x v="1"/>
    <n v="1"/>
    <x v="3"/>
    <n v="15"/>
    <x v="5"/>
    <n v="1"/>
    <n v="82.5"/>
    <n v="0.91666666699999999"/>
    <n v="0"/>
    <x v="2"/>
  </r>
  <r>
    <n v="1078"/>
    <d v="2023-05-04T00:00:00"/>
    <d v="1899-12-30T22:20:00"/>
    <n v="16"/>
    <x v="1"/>
    <x v="35"/>
    <x v="0"/>
    <n v="3"/>
    <n v="500"/>
    <n v="125"/>
    <n v="1500"/>
    <x v="1"/>
    <n v="5"/>
    <x v="7"/>
    <n v="4"/>
    <x v="2"/>
    <n v="2"/>
    <n v="1375"/>
    <n v="0.91666666699999999"/>
    <n v="1"/>
    <x v="3"/>
  </r>
  <r>
    <n v="1260"/>
    <d v="2023-07-19T00:00:00"/>
    <d v="1899-12-30T17:26:00"/>
    <n v="117"/>
    <x v="0"/>
    <x v="32"/>
    <x v="1"/>
    <n v="2"/>
    <n v="30"/>
    <n v="13.5"/>
    <n v="60"/>
    <x v="1"/>
    <n v="7"/>
    <x v="1"/>
    <n v="19"/>
    <x v="4"/>
    <n v="3"/>
    <n v="46.5"/>
    <n v="0.77500000000000002"/>
    <n v="0"/>
    <x v="1"/>
  </r>
  <r>
    <n v="1455"/>
    <d v="2022-08-27T00:00:00"/>
    <d v="1899-12-30T21:35:00"/>
    <n v="32"/>
    <x v="0"/>
    <x v="16"/>
    <x v="2"/>
    <n v="4"/>
    <n v="25"/>
    <n v="13.75"/>
    <n v="100"/>
    <x v="0"/>
    <n v="8"/>
    <x v="4"/>
    <n v="27"/>
    <x v="0"/>
    <n v="3"/>
    <n v="86.25"/>
    <n v="0.86250000000000004"/>
    <n v="0"/>
    <x v="1"/>
  </r>
  <r>
    <n v="1837"/>
    <d v="2023-03-29T00:00:00"/>
    <d v="1899-12-30T20:45:00"/>
    <n v="32"/>
    <x v="0"/>
    <x v="18"/>
    <x v="1"/>
    <n v="3"/>
    <n v="30"/>
    <n v="8.1"/>
    <n v="90"/>
    <x v="1"/>
    <n v="3"/>
    <x v="8"/>
    <n v="29"/>
    <x v="4"/>
    <n v="1"/>
    <n v="81.900000000000006"/>
    <n v="0.91"/>
    <n v="0"/>
    <x v="2"/>
  </r>
  <r>
    <n v="45"/>
    <d v="2022-03-20T00:00:00"/>
    <d v="1899-12-30T18:27:00"/>
    <n v="121"/>
    <x v="1"/>
    <x v="46"/>
    <x v="2"/>
    <n v="1"/>
    <n v="30"/>
    <n v="10.5"/>
    <n v="30"/>
    <x v="0"/>
    <n v="3"/>
    <x v="8"/>
    <n v="20"/>
    <x v="5"/>
    <n v="1"/>
    <n v="19.5"/>
    <n v="0.65"/>
    <n v="0"/>
    <x v="2"/>
  </r>
  <r>
    <n v="449"/>
    <d v="2022-01-03T00:00:00"/>
    <d v="1899-12-30T18:28:00"/>
    <n v="58"/>
    <x v="0"/>
    <x v="38"/>
    <x v="2"/>
    <n v="4"/>
    <n v="50"/>
    <n v="26.5"/>
    <n v="200"/>
    <x v="0"/>
    <n v="1"/>
    <x v="3"/>
    <n v="3"/>
    <x v="1"/>
    <n v="1"/>
    <n v="173.5"/>
    <n v="0.86750000000000005"/>
    <n v="1"/>
    <x v="2"/>
  </r>
  <r>
    <n v="1045"/>
    <d v="2022-02-26T00:00:00"/>
    <d v="1899-12-30T17:28:00"/>
    <n v="110"/>
    <x v="1"/>
    <x v="46"/>
    <x v="2"/>
    <n v="1"/>
    <n v="30"/>
    <n v="9.9"/>
    <n v="30"/>
    <x v="0"/>
    <n v="2"/>
    <x v="10"/>
    <n v="26"/>
    <x v="0"/>
    <n v="1"/>
    <n v="20.100000000000001"/>
    <n v="0.67"/>
    <n v="0"/>
    <x v="2"/>
  </r>
  <r>
    <n v="1449"/>
    <d v="2022-04-26T00:00:00"/>
    <d v="1899-12-30T18:42:00"/>
    <n v="12"/>
    <x v="0"/>
    <x v="38"/>
    <x v="2"/>
    <n v="4"/>
    <n v="50"/>
    <n v="23.5"/>
    <n v="200"/>
    <x v="0"/>
    <n v="4"/>
    <x v="6"/>
    <n v="26"/>
    <x v="6"/>
    <n v="2"/>
    <n v="176.5"/>
    <n v="0.88249999999999995"/>
    <n v="1"/>
    <x v="3"/>
  </r>
  <r>
    <n v="904"/>
    <d v="2022-04-01T00:00:00"/>
    <d v="1899-12-30T20:26:00"/>
    <n v="43"/>
    <x v="0"/>
    <x v="32"/>
    <x v="0"/>
    <n v="1"/>
    <n v="500"/>
    <n v="160"/>
    <n v="500"/>
    <x v="0"/>
    <n v="4"/>
    <x v="6"/>
    <n v="1"/>
    <x v="3"/>
    <n v="2"/>
    <n v="340"/>
    <n v="0.68"/>
    <n v="1"/>
    <x v="3"/>
  </r>
  <r>
    <n v="1904"/>
    <d v="2022-11-25T00:00:00"/>
    <d v="1899-12-30T19:41:00"/>
    <n v="117"/>
    <x v="0"/>
    <x v="32"/>
    <x v="0"/>
    <n v="1"/>
    <n v="500"/>
    <n v="220"/>
    <n v="500"/>
    <x v="0"/>
    <n v="11"/>
    <x v="0"/>
    <n v="25"/>
    <x v="3"/>
    <n v="4"/>
    <n v="280"/>
    <n v="0.56000000000000005"/>
    <n v="1"/>
    <x v="0"/>
  </r>
  <r>
    <n v="59"/>
    <d v="2022-11-14T00:00:00"/>
    <d v="1899-12-30T18:28:00"/>
    <n v="61"/>
    <x v="0"/>
    <x v="44"/>
    <x v="0"/>
    <n v="1"/>
    <n v="50"/>
    <n v="27"/>
    <n v="50"/>
    <x v="0"/>
    <n v="11"/>
    <x v="0"/>
    <n v="14"/>
    <x v="1"/>
    <n v="4"/>
    <n v="23"/>
    <n v="0.46"/>
    <n v="0"/>
    <x v="0"/>
  </r>
  <r>
    <n v="128"/>
    <d v="2022-12-21T00:00:00"/>
    <d v="1899-12-30T22:22:00"/>
    <n v="77"/>
    <x v="0"/>
    <x v="38"/>
    <x v="1"/>
    <n v="1"/>
    <n v="500"/>
    <n v="180"/>
    <n v="500"/>
    <x v="0"/>
    <n v="12"/>
    <x v="2"/>
    <n v="21"/>
    <x v="4"/>
    <n v="4"/>
    <n v="320"/>
    <n v="0.64"/>
    <n v="1"/>
    <x v="0"/>
  </r>
  <r>
    <n v="186"/>
    <d v="2022-03-31T00:00:00"/>
    <d v="1899-12-30T18:15:00"/>
    <n v="92"/>
    <x v="0"/>
    <x v="36"/>
    <x v="0"/>
    <n v="4"/>
    <n v="50"/>
    <n v="23.5"/>
    <n v="200"/>
    <x v="0"/>
    <n v="3"/>
    <x v="8"/>
    <n v="31"/>
    <x v="2"/>
    <n v="1"/>
    <n v="176.5"/>
    <n v="0.88249999999999995"/>
    <n v="1"/>
    <x v="2"/>
  </r>
  <r>
    <n v="802"/>
    <d v="2023-09-22T00:00:00"/>
    <d v="1899-12-30T18:00:00"/>
    <n v="57"/>
    <x v="1"/>
    <x v="1"/>
    <x v="1"/>
    <n v="1"/>
    <n v="30"/>
    <n v="9.9"/>
    <n v="30"/>
    <x v="1"/>
    <n v="9"/>
    <x v="9"/>
    <n v="22"/>
    <x v="3"/>
    <n v="3"/>
    <n v="20.100000000000001"/>
    <n v="0.67"/>
    <n v="0"/>
    <x v="1"/>
  </r>
  <r>
    <n v="1059"/>
    <d v="2022-07-12T00:00:00"/>
    <d v="1899-12-30T22:05:00"/>
    <n v="89"/>
    <x v="0"/>
    <x v="44"/>
    <x v="0"/>
    <n v="1"/>
    <n v="50"/>
    <n v="12.5"/>
    <n v="50"/>
    <x v="0"/>
    <n v="7"/>
    <x v="1"/>
    <n v="12"/>
    <x v="6"/>
    <n v="3"/>
    <n v="37.5"/>
    <n v="0.75"/>
    <n v="0"/>
    <x v="1"/>
  </r>
  <r>
    <n v="1128"/>
    <d v="2022-01-04T00:00:00"/>
    <d v="1899-12-30T17:35:00"/>
    <n v="60"/>
    <x v="0"/>
    <x v="38"/>
    <x v="1"/>
    <n v="1"/>
    <n v="500"/>
    <n v="135"/>
    <n v="500"/>
    <x v="0"/>
    <n v="1"/>
    <x v="3"/>
    <n v="4"/>
    <x v="6"/>
    <n v="1"/>
    <n v="365"/>
    <n v="0.73"/>
    <n v="1"/>
    <x v="2"/>
  </r>
  <r>
    <n v="1186"/>
    <d v="2023-09-10T00:00:00"/>
    <d v="1899-12-30T18:24:00"/>
    <n v="5"/>
    <x v="0"/>
    <x v="36"/>
    <x v="0"/>
    <n v="4"/>
    <n v="50"/>
    <n v="18.5"/>
    <n v="200"/>
    <x v="1"/>
    <n v="9"/>
    <x v="9"/>
    <n v="10"/>
    <x v="5"/>
    <n v="3"/>
    <n v="181.5"/>
    <n v="0.90749999999999997"/>
    <n v="1"/>
    <x v="1"/>
  </r>
  <r>
    <n v="1802"/>
    <d v="2022-07-13T00:00:00"/>
    <d v="1899-12-30T22:17:00"/>
    <n v="33"/>
    <x v="1"/>
    <x v="1"/>
    <x v="1"/>
    <n v="1"/>
    <n v="30"/>
    <n v="9.6"/>
    <n v="30"/>
    <x v="0"/>
    <n v="7"/>
    <x v="1"/>
    <n v="13"/>
    <x v="4"/>
    <n v="3"/>
    <n v="20.399999999999999"/>
    <n v="0.68"/>
    <n v="0"/>
    <x v="1"/>
  </r>
  <r>
    <n v="75"/>
    <d v="2023-05-15T00:00:00"/>
    <d v="1899-12-30T20:51:00"/>
    <n v="110"/>
    <x v="0"/>
    <x v="45"/>
    <x v="1"/>
    <n v="4"/>
    <n v="50"/>
    <n v="13.5"/>
    <n v="200"/>
    <x v="1"/>
    <n v="5"/>
    <x v="7"/>
    <n v="15"/>
    <x v="1"/>
    <n v="2"/>
    <n v="186.5"/>
    <n v="0.9325"/>
    <n v="1"/>
    <x v="3"/>
  </r>
  <r>
    <n v="447"/>
    <d v="2023-04-18T00:00:00"/>
    <d v="1899-12-30T17:57:00"/>
    <n v="37"/>
    <x v="0"/>
    <x v="30"/>
    <x v="1"/>
    <n v="4"/>
    <n v="500"/>
    <n v="245"/>
    <n v="2000"/>
    <x v="1"/>
    <n v="4"/>
    <x v="6"/>
    <n v="18"/>
    <x v="6"/>
    <n v="2"/>
    <n v="1755"/>
    <n v="0.87749999999999995"/>
    <n v="1"/>
    <x v="3"/>
  </r>
  <r>
    <n v="528"/>
    <d v="2023-12-11T00:00:00"/>
    <d v="1899-12-30T21:51:00"/>
    <n v="102"/>
    <x v="1"/>
    <x v="31"/>
    <x v="0"/>
    <n v="2"/>
    <n v="30"/>
    <n v="9.6"/>
    <n v="60"/>
    <x v="1"/>
    <n v="12"/>
    <x v="2"/>
    <n v="11"/>
    <x v="1"/>
    <n v="4"/>
    <n v="50.4"/>
    <n v="0.84"/>
    <n v="0"/>
    <x v="0"/>
  </r>
  <r>
    <n v="1075"/>
    <d v="2022-09-14T00:00:00"/>
    <d v="1899-12-30T19:17:00"/>
    <n v="92"/>
    <x v="0"/>
    <x v="45"/>
    <x v="1"/>
    <n v="4"/>
    <n v="50"/>
    <n v="21.5"/>
    <n v="200"/>
    <x v="0"/>
    <n v="9"/>
    <x v="9"/>
    <n v="14"/>
    <x v="4"/>
    <n v="3"/>
    <n v="178.5"/>
    <n v="0.89249999999999996"/>
    <n v="1"/>
    <x v="1"/>
  </r>
  <r>
    <n v="1447"/>
    <d v="2022-05-30T00:00:00"/>
    <d v="1899-12-30T22:21:00"/>
    <n v="137"/>
    <x v="0"/>
    <x v="30"/>
    <x v="1"/>
    <n v="4"/>
    <n v="500"/>
    <n v="155"/>
    <n v="2000"/>
    <x v="0"/>
    <n v="5"/>
    <x v="7"/>
    <n v="30"/>
    <x v="1"/>
    <n v="2"/>
    <n v="1845"/>
    <n v="0.92249999999999999"/>
    <n v="1"/>
    <x v="3"/>
  </r>
  <r>
    <n v="1528"/>
    <d v="2023-07-06T00:00:00"/>
    <d v="1899-12-30T19:44:00"/>
    <n v="126"/>
    <x v="1"/>
    <x v="31"/>
    <x v="0"/>
    <n v="2"/>
    <n v="30"/>
    <n v="12.3"/>
    <n v="60"/>
    <x v="1"/>
    <n v="7"/>
    <x v="1"/>
    <n v="6"/>
    <x v="2"/>
    <n v="3"/>
    <n v="47.7"/>
    <n v="0.79500000000000004"/>
    <n v="0"/>
    <x v="1"/>
  </r>
  <r>
    <n v="759"/>
    <d v="2023-05-23T00:00:00"/>
    <d v="1899-12-30T21:21:00"/>
    <n v="75"/>
    <x v="0"/>
    <x v="28"/>
    <x v="2"/>
    <n v="2"/>
    <n v="50"/>
    <n v="21.5"/>
    <n v="100"/>
    <x v="1"/>
    <n v="5"/>
    <x v="7"/>
    <n v="23"/>
    <x v="6"/>
    <n v="2"/>
    <n v="78.5"/>
    <n v="0.78500000000000003"/>
    <n v="0"/>
    <x v="3"/>
  </r>
  <r>
    <n v="870"/>
    <d v="2022-04-11T00:00:00"/>
    <d v="1899-12-30T19:41:00"/>
    <n v="16"/>
    <x v="1"/>
    <x v="1"/>
    <x v="2"/>
    <n v="4"/>
    <n v="30"/>
    <n v="11.1"/>
    <n v="120"/>
    <x v="0"/>
    <n v="4"/>
    <x v="6"/>
    <n v="11"/>
    <x v="1"/>
    <n v="2"/>
    <n v="108.9"/>
    <n v="0.90749999999999997"/>
    <n v="0"/>
    <x v="3"/>
  </r>
  <r>
    <n v="1759"/>
    <d v="2022-11-03T00:00:00"/>
    <d v="1899-12-30T17:27:00"/>
    <n v="102"/>
    <x v="0"/>
    <x v="28"/>
    <x v="2"/>
    <n v="2"/>
    <n v="50"/>
    <n v="23"/>
    <n v="100"/>
    <x v="0"/>
    <n v="11"/>
    <x v="0"/>
    <n v="3"/>
    <x v="2"/>
    <n v="4"/>
    <n v="77"/>
    <n v="0.77"/>
    <n v="0"/>
    <x v="0"/>
  </r>
  <r>
    <n v="1870"/>
    <d v="2023-11-09T00:00:00"/>
    <d v="1899-12-30T20:38:00"/>
    <n v="119"/>
    <x v="1"/>
    <x v="1"/>
    <x v="2"/>
    <n v="4"/>
    <n v="30"/>
    <n v="10.5"/>
    <n v="120"/>
    <x v="1"/>
    <n v="11"/>
    <x v="0"/>
    <n v="9"/>
    <x v="2"/>
    <n v="4"/>
    <n v="109.5"/>
    <n v="0.91249999999999998"/>
    <n v="0"/>
    <x v="0"/>
  </r>
  <r>
    <n v="77"/>
    <d v="2022-04-07T00:00:00"/>
    <d v="1899-12-30T20:45:00"/>
    <n v="44"/>
    <x v="1"/>
    <x v="35"/>
    <x v="0"/>
    <n v="2"/>
    <n v="50"/>
    <n v="24"/>
    <n v="100"/>
    <x v="0"/>
    <n v="4"/>
    <x v="6"/>
    <n v="7"/>
    <x v="2"/>
    <n v="2"/>
    <n v="76"/>
    <n v="0.76"/>
    <n v="0"/>
    <x v="3"/>
  </r>
  <r>
    <n v="381"/>
    <d v="2022-01-30T00:00:00"/>
    <d v="1899-12-30T19:05:00"/>
    <n v="63"/>
    <x v="1"/>
    <x v="47"/>
    <x v="0"/>
    <n v="4"/>
    <n v="25"/>
    <n v="12.25"/>
    <n v="100"/>
    <x v="0"/>
    <n v="1"/>
    <x v="3"/>
    <n v="30"/>
    <x v="5"/>
    <n v="1"/>
    <n v="87.75"/>
    <n v="0.87749999999999995"/>
    <n v="0"/>
    <x v="2"/>
  </r>
  <r>
    <n v="439"/>
    <d v="2022-05-06T00:00:00"/>
    <d v="1899-12-30T21:46:00"/>
    <n v="42"/>
    <x v="0"/>
    <x v="20"/>
    <x v="0"/>
    <n v="3"/>
    <n v="25"/>
    <n v="11.75"/>
    <n v="75"/>
    <x v="0"/>
    <n v="5"/>
    <x v="7"/>
    <n v="6"/>
    <x v="3"/>
    <n v="2"/>
    <n v="63.25"/>
    <n v="0.84333333300000002"/>
    <n v="0"/>
    <x v="3"/>
  </r>
  <r>
    <n v="792"/>
    <d v="2023-01-04T00:00:00"/>
    <d v="1899-12-30T22:50:00"/>
    <n v="4"/>
    <x v="1"/>
    <x v="36"/>
    <x v="1"/>
    <n v="1"/>
    <n v="50"/>
    <n v="26.5"/>
    <n v="50"/>
    <x v="1"/>
    <n v="1"/>
    <x v="3"/>
    <n v="4"/>
    <x v="4"/>
    <n v="1"/>
    <n v="23.5"/>
    <n v="0.47"/>
    <n v="0"/>
    <x v="2"/>
  </r>
  <r>
    <n v="1077"/>
    <d v="2022-12-16T00:00:00"/>
    <d v="1899-12-30T18:45:00"/>
    <n v="141"/>
    <x v="1"/>
    <x v="35"/>
    <x v="0"/>
    <n v="2"/>
    <n v="50"/>
    <n v="15"/>
    <n v="100"/>
    <x v="0"/>
    <n v="12"/>
    <x v="2"/>
    <n v="16"/>
    <x v="3"/>
    <n v="4"/>
    <n v="85"/>
    <n v="0.85"/>
    <n v="0"/>
    <x v="0"/>
  </r>
  <r>
    <n v="1381"/>
    <d v="2022-10-26T00:00:00"/>
    <d v="1899-12-30T17:26:00"/>
    <n v="48"/>
    <x v="1"/>
    <x v="47"/>
    <x v="0"/>
    <n v="4"/>
    <n v="25"/>
    <n v="7.75"/>
    <n v="100"/>
    <x v="0"/>
    <n v="10"/>
    <x v="5"/>
    <n v="26"/>
    <x v="4"/>
    <n v="4"/>
    <n v="92.25"/>
    <n v="0.92249999999999999"/>
    <n v="0"/>
    <x v="0"/>
  </r>
  <r>
    <n v="1439"/>
    <d v="2023-11-18T00:00:00"/>
    <d v="1899-12-30T20:53:00"/>
    <n v="76"/>
    <x v="0"/>
    <x v="20"/>
    <x v="0"/>
    <n v="3"/>
    <n v="25"/>
    <n v="7.25"/>
    <n v="75"/>
    <x v="1"/>
    <n v="11"/>
    <x v="0"/>
    <n v="18"/>
    <x v="0"/>
    <n v="4"/>
    <n v="67.75"/>
    <n v="0.90333333299999996"/>
    <n v="0"/>
    <x v="0"/>
  </r>
  <r>
    <n v="1792"/>
    <d v="2023-08-26T00:00:00"/>
    <d v="1899-12-30T17:37:00"/>
    <n v="88"/>
    <x v="1"/>
    <x v="36"/>
    <x v="1"/>
    <n v="1"/>
    <n v="50"/>
    <n v="26.5"/>
    <n v="50"/>
    <x v="1"/>
    <n v="8"/>
    <x v="4"/>
    <n v="26"/>
    <x v="0"/>
    <n v="3"/>
    <n v="23.5"/>
    <n v="0.47"/>
    <n v="0"/>
    <x v="1"/>
  </r>
  <r>
    <n v="176"/>
    <d v="2023-05-26T00:00:00"/>
    <d v="1899-12-30T18:15:00"/>
    <n v="53"/>
    <x v="1"/>
    <x v="22"/>
    <x v="1"/>
    <n v="2"/>
    <n v="50"/>
    <n v="25.5"/>
    <n v="100"/>
    <x v="1"/>
    <n v="5"/>
    <x v="7"/>
    <n v="26"/>
    <x v="3"/>
    <n v="2"/>
    <n v="74.5"/>
    <n v="0.745"/>
    <n v="0"/>
    <x v="3"/>
  </r>
  <r>
    <n v="216"/>
    <d v="2022-11-04T00:00:00"/>
    <d v="1899-12-30T17:28:00"/>
    <n v="141"/>
    <x v="0"/>
    <x v="44"/>
    <x v="2"/>
    <n v="2"/>
    <n v="50"/>
    <n v="26.5"/>
    <n v="100"/>
    <x v="0"/>
    <n v="11"/>
    <x v="0"/>
    <n v="4"/>
    <x v="3"/>
    <n v="4"/>
    <n v="73.5"/>
    <n v="0.73499999999999999"/>
    <n v="0"/>
    <x v="0"/>
  </r>
  <r>
    <n v="1176"/>
    <d v="2023-01-04T00:00:00"/>
    <d v="1899-12-30T20:33:00"/>
    <n v="34"/>
    <x v="1"/>
    <x v="22"/>
    <x v="1"/>
    <n v="2"/>
    <n v="50"/>
    <n v="21"/>
    <n v="100"/>
    <x v="1"/>
    <n v="1"/>
    <x v="3"/>
    <n v="4"/>
    <x v="4"/>
    <n v="1"/>
    <n v="79"/>
    <n v="0.79"/>
    <n v="0"/>
    <x v="2"/>
  </r>
  <r>
    <n v="1216"/>
    <d v="2023-03-01T00:00:00"/>
    <d v="1899-12-30T22:53:00"/>
    <n v="23"/>
    <x v="0"/>
    <x v="44"/>
    <x v="2"/>
    <n v="2"/>
    <n v="50"/>
    <n v="13"/>
    <n v="100"/>
    <x v="1"/>
    <n v="3"/>
    <x v="8"/>
    <n v="1"/>
    <x v="4"/>
    <n v="1"/>
    <n v="87"/>
    <n v="0.87"/>
    <n v="0"/>
    <x v="2"/>
  </r>
  <r>
    <n v="772"/>
    <d v="2023-04-14T00:00:00"/>
    <d v="1899-12-30T21:47:00"/>
    <n v="25"/>
    <x v="0"/>
    <x v="6"/>
    <x v="2"/>
    <n v="1"/>
    <n v="30"/>
    <n v="16.2"/>
    <n v="30"/>
    <x v="1"/>
    <n v="4"/>
    <x v="6"/>
    <n v="14"/>
    <x v="3"/>
    <n v="2"/>
    <n v="13.8"/>
    <n v="0.46"/>
    <n v="0"/>
    <x v="3"/>
  </r>
  <r>
    <n v="1772"/>
    <d v="2022-02-03T00:00:00"/>
    <d v="1899-12-30T19:06:00"/>
    <n v="59"/>
    <x v="0"/>
    <x v="6"/>
    <x v="2"/>
    <n v="1"/>
    <n v="30"/>
    <n v="13.2"/>
    <n v="30"/>
    <x v="0"/>
    <n v="2"/>
    <x v="10"/>
    <n v="3"/>
    <x v="2"/>
    <n v="1"/>
    <n v="16.8"/>
    <n v="0.56000000000000005"/>
    <n v="0"/>
    <x v="2"/>
  </r>
  <r>
    <n v="53"/>
    <d v="2022-01-06T00:00:00"/>
    <d v="1899-12-30T17:57:00"/>
    <n v="32"/>
    <x v="0"/>
    <x v="23"/>
    <x v="2"/>
    <n v="2"/>
    <n v="50"/>
    <n v="22"/>
    <n v="100"/>
    <x v="0"/>
    <n v="1"/>
    <x v="3"/>
    <n v="6"/>
    <x v="2"/>
    <n v="1"/>
    <n v="78"/>
    <n v="0.78"/>
    <n v="0"/>
    <x v="2"/>
  </r>
  <r>
    <n v="1053"/>
    <d v="2023-02-10T00:00:00"/>
    <d v="1899-12-30T21:13:00"/>
    <n v="40"/>
    <x v="0"/>
    <x v="23"/>
    <x v="2"/>
    <n v="2"/>
    <n v="50"/>
    <n v="20.5"/>
    <n v="100"/>
    <x v="1"/>
    <n v="2"/>
    <x v="10"/>
    <n v="10"/>
    <x v="3"/>
    <n v="1"/>
    <n v="79.5"/>
    <n v="0.79500000000000004"/>
    <n v="0"/>
    <x v="2"/>
  </r>
  <r>
    <n v="43"/>
    <d v="2023-03-18T00:00:00"/>
    <d v="1899-12-30T21:42:00"/>
    <n v="118"/>
    <x v="1"/>
    <x v="42"/>
    <x v="0"/>
    <n v="1"/>
    <n v="300"/>
    <n v="111"/>
    <n v="300"/>
    <x v="1"/>
    <n v="3"/>
    <x v="8"/>
    <n v="18"/>
    <x v="0"/>
    <n v="1"/>
    <n v="189"/>
    <n v="0.63"/>
    <n v="1"/>
    <x v="2"/>
  </r>
  <r>
    <n v="71"/>
    <d v="2023-02-16T00:00:00"/>
    <d v="1899-12-30T19:11:00"/>
    <n v="32"/>
    <x v="1"/>
    <x v="12"/>
    <x v="1"/>
    <n v="4"/>
    <n v="25"/>
    <n v="11.5"/>
    <n v="100"/>
    <x v="1"/>
    <n v="2"/>
    <x v="10"/>
    <n v="16"/>
    <x v="2"/>
    <n v="1"/>
    <n v="88.5"/>
    <n v="0.88500000000000001"/>
    <n v="0"/>
    <x v="2"/>
  </r>
  <r>
    <n v="93"/>
    <d v="2022-01-25T00:00:00"/>
    <d v="1899-12-30T20:52:00"/>
    <n v="148"/>
    <x v="1"/>
    <x v="39"/>
    <x v="1"/>
    <n v="4"/>
    <n v="500"/>
    <n v="140"/>
    <n v="2000"/>
    <x v="0"/>
    <n v="1"/>
    <x v="3"/>
    <n v="25"/>
    <x v="6"/>
    <n v="1"/>
    <n v="1860"/>
    <n v="0.93"/>
    <n v="1"/>
    <x v="2"/>
  </r>
  <r>
    <n v="302"/>
    <d v="2023-02-09T00:00:00"/>
    <d v="1899-12-30T17:51:00"/>
    <n v="26"/>
    <x v="0"/>
    <x v="10"/>
    <x v="1"/>
    <n v="2"/>
    <n v="300"/>
    <n v="135"/>
    <n v="600"/>
    <x v="1"/>
    <n v="2"/>
    <x v="10"/>
    <n v="9"/>
    <x v="2"/>
    <n v="1"/>
    <n v="465"/>
    <n v="0.77500000000000002"/>
    <n v="1"/>
    <x v="2"/>
  </r>
  <r>
    <n v="551"/>
    <d v="2023-03-21T00:00:00"/>
    <d v="1899-12-30T22:45:00"/>
    <n v="99"/>
    <x v="0"/>
    <x v="14"/>
    <x v="2"/>
    <n v="3"/>
    <n v="300"/>
    <n v="141"/>
    <n v="900"/>
    <x v="1"/>
    <n v="3"/>
    <x v="8"/>
    <n v="21"/>
    <x v="6"/>
    <n v="1"/>
    <n v="759"/>
    <n v="0.84333333300000002"/>
    <n v="1"/>
    <x v="2"/>
  </r>
  <r>
    <n v="681"/>
    <d v="2023-08-04T00:00:00"/>
    <d v="1899-12-30T22:12:00"/>
    <n v="24"/>
    <x v="1"/>
    <x v="22"/>
    <x v="2"/>
    <n v="2"/>
    <n v="30"/>
    <n v="8.4"/>
    <n v="60"/>
    <x v="1"/>
    <n v="8"/>
    <x v="4"/>
    <n v="4"/>
    <x v="3"/>
    <n v="3"/>
    <n v="51.6"/>
    <n v="0.86"/>
    <n v="0"/>
    <x v="1"/>
  </r>
  <r>
    <n v="722"/>
    <d v="2023-02-24T00:00:00"/>
    <d v="1899-12-30T18:35:00"/>
    <n v="25"/>
    <x v="0"/>
    <x v="36"/>
    <x v="1"/>
    <n v="3"/>
    <n v="300"/>
    <n v="162"/>
    <n v="900"/>
    <x v="1"/>
    <n v="2"/>
    <x v="10"/>
    <n v="24"/>
    <x v="3"/>
    <n v="1"/>
    <n v="738"/>
    <n v="0.82"/>
    <n v="1"/>
    <x v="2"/>
  </r>
  <r>
    <n v="728"/>
    <d v="2022-06-02T00:00:00"/>
    <d v="1899-12-30T19:35:00"/>
    <n v="78"/>
    <x v="0"/>
    <x v="12"/>
    <x v="2"/>
    <n v="3"/>
    <n v="50"/>
    <n v="18"/>
    <n v="150"/>
    <x v="0"/>
    <n v="6"/>
    <x v="11"/>
    <n v="2"/>
    <x v="2"/>
    <n v="2"/>
    <n v="132"/>
    <n v="0.88"/>
    <n v="1"/>
    <x v="3"/>
  </r>
  <r>
    <n v="829"/>
    <d v="2022-03-24T00:00:00"/>
    <d v="1899-12-30T21:31:00"/>
    <n v="52"/>
    <x v="0"/>
    <x v="45"/>
    <x v="1"/>
    <n v="3"/>
    <n v="30"/>
    <n v="9.6"/>
    <n v="90"/>
    <x v="0"/>
    <n v="3"/>
    <x v="8"/>
    <n v="24"/>
    <x v="2"/>
    <n v="1"/>
    <n v="80.400000000000006"/>
    <n v="0.89333333299999995"/>
    <n v="0"/>
    <x v="2"/>
  </r>
  <r>
    <n v="955"/>
    <d v="2022-01-16T00:00:00"/>
    <d v="1899-12-30T17:57:00"/>
    <n v="16"/>
    <x v="0"/>
    <x v="43"/>
    <x v="0"/>
    <n v="1"/>
    <n v="25"/>
    <n v="12.5"/>
    <n v="25"/>
    <x v="0"/>
    <n v="1"/>
    <x v="3"/>
    <n v="16"/>
    <x v="5"/>
    <n v="1"/>
    <n v="12.5"/>
    <n v="0.5"/>
    <n v="0"/>
    <x v="2"/>
  </r>
  <r>
    <n v="1043"/>
    <d v="2023-11-30T00:00:00"/>
    <d v="1899-12-30T18:10:00"/>
    <n v="20"/>
    <x v="1"/>
    <x v="42"/>
    <x v="0"/>
    <n v="1"/>
    <n v="300"/>
    <n v="87"/>
    <n v="300"/>
    <x v="1"/>
    <n v="11"/>
    <x v="0"/>
    <n v="30"/>
    <x v="2"/>
    <n v="4"/>
    <n v="213"/>
    <n v="0.71"/>
    <n v="1"/>
    <x v="0"/>
  </r>
  <r>
    <n v="1071"/>
    <d v="2023-09-21T00:00:00"/>
    <d v="1899-12-30T17:38:00"/>
    <n v="155"/>
    <x v="1"/>
    <x v="12"/>
    <x v="1"/>
    <n v="4"/>
    <n v="25"/>
    <n v="6.75"/>
    <n v="100"/>
    <x v="1"/>
    <n v="9"/>
    <x v="9"/>
    <n v="21"/>
    <x v="2"/>
    <n v="3"/>
    <n v="93.25"/>
    <n v="0.9325"/>
    <n v="0"/>
    <x v="1"/>
  </r>
  <r>
    <n v="1093"/>
    <d v="2023-11-06T00:00:00"/>
    <d v="1899-12-30T17:26:00"/>
    <n v="87"/>
    <x v="1"/>
    <x v="39"/>
    <x v="1"/>
    <n v="4"/>
    <n v="500"/>
    <n v="270"/>
    <n v="2000"/>
    <x v="1"/>
    <n v="11"/>
    <x v="0"/>
    <n v="6"/>
    <x v="1"/>
    <n v="4"/>
    <n v="1730"/>
    <n v="0.86499999999999999"/>
    <n v="1"/>
    <x v="0"/>
  </r>
  <r>
    <n v="1302"/>
    <d v="2022-12-21T00:00:00"/>
    <d v="1899-12-30T17:55:00"/>
    <n v="20"/>
    <x v="0"/>
    <x v="10"/>
    <x v="1"/>
    <n v="2"/>
    <n v="300"/>
    <n v="102"/>
    <n v="600"/>
    <x v="0"/>
    <n v="12"/>
    <x v="2"/>
    <n v="21"/>
    <x v="4"/>
    <n v="4"/>
    <n v="498"/>
    <n v="0.83"/>
    <n v="1"/>
    <x v="0"/>
  </r>
  <r>
    <n v="1551"/>
    <d v="2023-11-12T00:00:00"/>
    <d v="1899-12-30T22:36:00"/>
    <n v="84"/>
    <x v="0"/>
    <x v="14"/>
    <x v="2"/>
    <n v="3"/>
    <n v="300"/>
    <n v="81"/>
    <n v="900"/>
    <x v="1"/>
    <n v="11"/>
    <x v="0"/>
    <n v="12"/>
    <x v="5"/>
    <n v="4"/>
    <n v="819"/>
    <n v="0.91"/>
    <n v="1"/>
    <x v="0"/>
  </r>
  <r>
    <n v="1681"/>
    <d v="2022-11-09T00:00:00"/>
    <d v="1899-12-30T19:32:00"/>
    <n v="53"/>
    <x v="1"/>
    <x v="22"/>
    <x v="2"/>
    <n v="2"/>
    <n v="30"/>
    <n v="11.1"/>
    <n v="60"/>
    <x v="0"/>
    <n v="11"/>
    <x v="0"/>
    <n v="9"/>
    <x v="4"/>
    <n v="4"/>
    <n v="48.9"/>
    <n v="0.81499999999999995"/>
    <n v="0"/>
    <x v="0"/>
  </r>
  <r>
    <n v="1722"/>
    <d v="2022-01-30T00:00:00"/>
    <d v="1899-12-30T20:38:00"/>
    <n v="22"/>
    <x v="0"/>
    <x v="36"/>
    <x v="1"/>
    <n v="3"/>
    <n v="300"/>
    <n v="159"/>
    <n v="900"/>
    <x v="0"/>
    <n v="1"/>
    <x v="3"/>
    <n v="30"/>
    <x v="5"/>
    <n v="1"/>
    <n v="741"/>
    <n v="0.823333333"/>
    <n v="1"/>
    <x v="2"/>
  </r>
  <r>
    <n v="1728"/>
    <d v="2023-05-23T00:00:00"/>
    <d v="1899-12-30T22:30:00"/>
    <n v="77"/>
    <x v="0"/>
    <x v="12"/>
    <x v="2"/>
    <n v="3"/>
    <n v="50"/>
    <n v="25"/>
    <n v="150"/>
    <x v="1"/>
    <n v="5"/>
    <x v="7"/>
    <n v="23"/>
    <x v="6"/>
    <n v="2"/>
    <n v="125"/>
    <n v="0.83333333300000001"/>
    <n v="1"/>
    <x v="3"/>
  </r>
  <r>
    <n v="1829"/>
    <d v="2022-05-30T00:00:00"/>
    <d v="1899-12-30T22:37:00"/>
    <n v="58"/>
    <x v="0"/>
    <x v="45"/>
    <x v="1"/>
    <n v="3"/>
    <n v="30"/>
    <n v="12"/>
    <n v="90"/>
    <x v="0"/>
    <n v="5"/>
    <x v="7"/>
    <n v="30"/>
    <x v="1"/>
    <n v="2"/>
    <n v="78"/>
    <n v="0.86666666699999995"/>
    <n v="0"/>
    <x v="3"/>
  </r>
  <r>
    <n v="1955"/>
    <d v="2022-09-15T00:00:00"/>
    <d v="1899-12-30T21:11:00"/>
    <n v="134"/>
    <x v="0"/>
    <x v="43"/>
    <x v="0"/>
    <n v="1"/>
    <n v="25"/>
    <n v="6.5"/>
    <n v="25"/>
    <x v="0"/>
    <n v="9"/>
    <x v="9"/>
    <n v="15"/>
    <x v="2"/>
    <n v="3"/>
    <n v="18.5"/>
    <n v="0.74"/>
    <n v="0"/>
    <x v="1"/>
  </r>
  <r>
    <n v="144"/>
    <d v="2022-03-26T00:00:00"/>
    <d v="1899-12-30T22:18:00"/>
    <n v="119"/>
    <x v="1"/>
    <x v="26"/>
    <x v="1"/>
    <n v="3"/>
    <n v="500"/>
    <n v="255"/>
    <n v="1500"/>
    <x v="0"/>
    <n v="3"/>
    <x v="8"/>
    <n v="26"/>
    <x v="0"/>
    <n v="1"/>
    <n v="1245"/>
    <n v="0.83"/>
    <n v="1"/>
    <x v="2"/>
  </r>
  <r>
    <n v="474"/>
    <d v="2022-05-08T00:00:00"/>
    <d v="1899-12-30T17:57:00"/>
    <n v="145"/>
    <x v="1"/>
    <x v="6"/>
    <x v="0"/>
    <n v="3"/>
    <n v="500"/>
    <n v="210"/>
    <n v="1500"/>
    <x v="0"/>
    <n v="5"/>
    <x v="7"/>
    <n v="8"/>
    <x v="5"/>
    <n v="2"/>
    <n v="1290"/>
    <n v="0.86"/>
    <n v="1"/>
    <x v="3"/>
  </r>
  <r>
    <n v="1144"/>
    <d v="2022-12-30T00:00:00"/>
    <d v="1899-12-30T21:27:00"/>
    <n v="148"/>
    <x v="1"/>
    <x v="26"/>
    <x v="1"/>
    <n v="3"/>
    <n v="500"/>
    <n v="125"/>
    <n v="1500"/>
    <x v="0"/>
    <n v="12"/>
    <x v="2"/>
    <n v="30"/>
    <x v="3"/>
    <n v="4"/>
    <n v="1375"/>
    <n v="0.91666666699999999"/>
    <n v="1"/>
    <x v="0"/>
  </r>
  <r>
    <n v="1474"/>
    <d v="2022-05-15T00:00:00"/>
    <d v="1899-12-30T20:49:00"/>
    <n v="84"/>
    <x v="1"/>
    <x v="6"/>
    <x v="0"/>
    <n v="3"/>
    <n v="500"/>
    <n v="255"/>
    <n v="1500"/>
    <x v="0"/>
    <n v="5"/>
    <x v="7"/>
    <n v="15"/>
    <x v="5"/>
    <n v="2"/>
    <n v="1245"/>
    <n v="0.83"/>
    <n v="1"/>
    <x v="3"/>
  </r>
  <r>
    <n v="603"/>
    <d v="2022-04-18T00:00:00"/>
    <d v="1899-12-30T20:17:00"/>
    <n v="95"/>
    <x v="1"/>
    <x v="2"/>
    <x v="0"/>
    <n v="3"/>
    <n v="30"/>
    <n v="14.1"/>
    <n v="90"/>
    <x v="0"/>
    <n v="4"/>
    <x v="6"/>
    <n v="18"/>
    <x v="1"/>
    <n v="2"/>
    <n v="75.900000000000006"/>
    <n v="0.84333333300000002"/>
    <n v="0"/>
    <x v="3"/>
  </r>
  <r>
    <n v="661"/>
    <d v="2022-08-05T00:00:00"/>
    <d v="1899-12-30T22:09:00"/>
    <n v="10"/>
    <x v="1"/>
    <x v="47"/>
    <x v="0"/>
    <n v="4"/>
    <n v="25"/>
    <n v="7"/>
    <n v="100"/>
    <x v="0"/>
    <n v="8"/>
    <x v="4"/>
    <n v="5"/>
    <x v="3"/>
    <n v="3"/>
    <n v="93"/>
    <n v="0.93"/>
    <n v="0"/>
    <x v="1"/>
  </r>
  <r>
    <n v="1603"/>
    <d v="2023-12-04T00:00:00"/>
    <d v="1899-12-30T20:50:00"/>
    <n v="132"/>
    <x v="1"/>
    <x v="2"/>
    <x v="0"/>
    <n v="3"/>
    <n v="30"/>
    <n v="13.2"/>
    <n v="90"/>
    <x v="1"/>
    <n v="12"/>
    <x v="2"/>
    <n v="4"/>
    <x v="1"/>
    <n v="4"/>
    <n v="76.8"/>
    <n v="0.85333333300000003"/>
    <n v="0"/>
    <x v="0"/>
  </r>
  <r>
    <n v="1661"/>
    <d v="2023-07-07T00:00:00"/>
    <d v="1899-12-30T19:18:00"/>
    <n v="20"/>
    <x v="1"/>
    <x v="47"/>
    <x v="0"/>
    <n v="4"/>
    <n v="25"/>
    <n v="6.25"/>
    <n v="100"/>
    <x v="1"/>
    <n v="7"/>
    <x v="1"/>
    <n v="7"/>
    <x v="3"/>
    <n v="3"/>
    <n v="93.75"/>
    <n v="0.9375"/>
    <n v="0"/>
    <x v="1"/>
  </r>
  <r>
    <n v="143"/>
    <d v="2023-02-11T00:00:00"/>
    <d v="1899-12-30T22:20:00"/>
    <n v="118"/>
    <x v="1"/>
    <x v="14"/>
    <x v="0"/>
    <n v="1"/>
    <n v="50"/>
    <n v="27.5"/>
    <n v="50"/>
    <x v="1"/>
    <n v="2"/>
    <x v="10"/>
    <n v="11"/>
    <x v="0"/>
    <n v="1"/>
    <n v="22.5"/>
    <n v="0.45"/>
    <n v="0"/>
    <x v="2"/>
  </r>
  <r>
    <n v="515"/>
    <d v="2022-02-13T00:00:00"/>
    <d v="1899-12-30T20:47:00"/>
    <n v="71"/>
    <x v="1"/>
    <x v="28"/>
    <x v="0"/>
    <n v="3"/>
    <n v="300"/>
    <n v="75"/>
    <n v="900"/>
    <x v="0"/>
    <n v="2"/>
    <x v="10"/>
    <n v="13"/>
    <x v="5"/>
    <n v="1"/>
    <n v="825"/>
    <n v="0.91666666699999999"/>
    <n v="1"/>
    <x v="2"/>
  </r>
  <r>
    <n v="1143"/>
    <d v="2023-05-01T00:00:00"/>
    <d v="1899-12-30T21:10:00"/>
    <n v="23"/>
    <x v="1"/>
    <x v="14"/>
    <x v="0"/>
    <n v="1"/>
    <n v="50"/>
    <n v="15"/>
    <n v="50"/>
    <x v="1"/>
    <n v="5"/>
    <x v="7"/>
    <n v="1"/>
    <x v="1"/>
    <n v="2"/>
    <n v="35"/>
    <n v="0.7"/>
    <n v="0"/>
    <x v="3"/>
  </r>
  <r>
    <n v="1515"/>
    <d v="2023-02-04T00:00:00"/>
    <d v="1899-12-30T21:49:00"/>
    <n v="107"/>
    <x v="1"/>
    <x v="28"/>
    <x v="0"/>
    <n v="3"/>
    <n v="300"/>
    <n v="135"/>
    <n v="900"/>
    <x v="1"/>
    <n v="2"/>
    <x v="10"/>
    <n v="4"/>
    <x v="0"/>
    <n v="1"/>
    <n v="765"/>
    <n v="0.85"/>
    <n v="1"/>
    <x v="2"/>
  </r>
  <r>
    <n v="304"/>
    <d v="2023-03-23T00:00:00"/>
    <d v="1899-12-30T18:35:00"/>
    <n v="59"/>
    <x v="1"/>
    <x v="5"/>
    <x v="2"/>
    <n v="2"/>
    <n v="30"/>
    <n v="15.6"/>
    <n v="60"/>
    <x v="1"/>
    <n v="3"/>
    <x v="8"/>
    <n v="23"/>
    <x v="2"/>
    <n v="1"/>
    <n v="44.4"/>
    <n v="0.74"/>
    <n v="0"/>
    <x v="2"/>
  </r>
  <r>
    <n v="676"/>
    <d v="2023-07-10T00:00:00"/>
    <d v="1899-12-30T22:13:00"/>
    <n v="80"/>
    <x v="0"/>
    <x v="15"/>
    <x v="2"/>
    <n v="3"/>
    <n v="500"/>
    <n v="205"/>
    <n v="1500"/>
    <x v="1"/>
    <n v="7"/>
    <x v="1"/>
    <n v="10"/>
    <x v="1"/>
    <n v="3"/>
    <n v="1295"/>
    <n v="0.86333333300000004"/>
    <n v="1"/>
    <x v="1"/>
  </r>
  <r>
    <n v="686"/>
    <d v="2022-01-06T00:00:00"/>
    <d v="1899-12-30T17:14:00"/>
    <n v="68"/>
    <x v="1"/>
    <x v="32"/>
    <x v="2"/>
    <n v="4"/>
    <n v="50"/>
    <n v="23.5"/>
    <n v="200"/>
    <x v="0"/>
    <n v="1"/>
    <x v="3"/>
    <n v="6"/>
    <x v="2"/>
    <n v="1"/>
    <n v="176.5"/>
    <n v="0.88249999999999995"/>
    <n v="1"/>
    <x v="2"/>
  </r>
  <r>
    <n v="698"/>
    <d v="2022-03-17T00:00:00"/>
    <d v="1899-12-30T20:56:00"/>
    <n v="116"/>
    <x v="1"/>
    <x v="3"/>
    <x v="2"/>
    <n v="1"/>
    <n v="300"/>
    <n v="123"/>
    <n v="300"/>
    <x v="0"/>
    <n v="3"/>
    <x v="8"/>
    <n v="17"/>
    <x v="2"/>
    <n v="1"/>
    <n v="177"/>
    <n v="0.59"/>
    <n v="1"/>
    <x v="2"/>
  </r>
  <r>
    <n v="1304"/>
    <d v="2022-09-26T00:00:00"/>
    <d v="1899-12-30T22:19:00"/>
    <n v="4"/>
    <x v="1"/>
    <x v="5"/>
    <x v="2"/>
    <n v="2"/>
    <n v="30"/>
    <n v="9.3000000000000007"/>
    <n v="60"/>
    <x v="0"/>
    <n v="9"/>
    <x v="9"/>
    <n v="26"/>
    <x v="1"/>
    <n v="3"/>
    <n v="50.7"/>
    <n v="0.84499999999999997"/>
    <n v="0"/>
    <x v="1"/>
  </r>
  <r>
    <n v="1676"/>
    <d v="2023-09-21T00:00:00"/>
    <d v="1899-12-30T20:22:00"/>
    <n v="91"/>
    <x v="0"/>
    <x v="15"/>
    <x v="2"/>
    <n v="3"/>
    <n v="500"/>
    <n v="210"/>
    <n v="1500"/>
    <x v="1"/>
    <n v="9"/>
    <x v="9"/>
    <n v="21"/>
    <x v="2"/>
    <n v="3"/>
    <n v="1290"/>
    <n v="0.86"/>
    <n v="1"/>
    <x v="1"/>
  </r>
  <r>
    <n v="1686"/>
    <d v="2023-12-10T00:00:00"/>
    <d v="1899-12-30T20:41:00"/>
    <n v="151"/>
    <x v="1"/>
    <x v="32"/>
    <x v="2"/>
    <n v="4"/>
    <n v="50"/>
    <n v="26"/>
    <n v="200"/>
    <x v="1"/>
    <n v="12"/>
    <x v="2"/>
    <n v="10"/>
    <x v="5"/>
    <n v="4"/>
    <n v="174"/>
    <n v="0.87"/>
    <n v="1"/>
    <x v="0"/>
  </r>
  <r>
    <n v="1698"/>
    <d v="2022-04-07T00:00:00"/>
    <d v="1899-12-30T21:50:00"/>
    <n v="146"/>
    <x v="1"/>
    <x v="3"/>
    <x v="2"/>
    <n v="1"/>
    <n v="300"/>
    <n v="105"/>
    <n v="300"/>
    <x v="0"/>
    <n v="4"/>
    <x v="6"/>
    <n v="7"/>
    <x v="2"/>
    <n v="2"/>
    <n v="195"/>
    <n v="0.65"/>
    <n v="1"/>
    <x v="3"/>
  </r>
  <r>
    <n v="709"/>
    <d v="2022-09-22T00:00:00"/>
    <d v="1899-12-30T22:32:00"/>
    <n v="61"/>
    <x v="1"/>
    <x v="4"/>
    <x v="2"/>
    <n v="2"/>
    <n v="500"/>
    <n v="140"/>
    <n v="1000"/>
    <x v="0"/>
    <n v="9"/>
    <x v="9"/>
    <n v="22"/>
    <x v="2"/>
    <n v="3"/>
    <n v="860"/>
    <n v="0.86"/>
    <n v="1"/>
    <x v="1"/>
  </r>
  <r>
    <n v="1709"/>
    <d v="2023-09-13T00:00:00"/>
    <d v="1899-12-30T20:22:00"/>
    <n v="97"/>
    <x v="1"/>
    <x v="4"/>
    <x v="2"/>
    <n v="2"/>
    <n v="500"/>
    <n v="185"/>
    <n v="1000"/>
    <x v="1"/>
    <n v="9"/>
    <x v="9"/>
    <n v="13"/>
    <x v="4"/>
    <n v="3"/>
    <n v="815"/>
    <n v="0.81499999999999995"/>
    <n v="1"/>
    <x v="1"/>
  </r>
  <r>
    <n v="114"/>
    <d v="2022-04-17T00:00:00"/>
    <d v="1899-12-30T20:57:00"/>
    <n v="92"/>
    <x v="1"/>
    <x v="30"/>
    <x v="1"/>
    <n v="4"/>
    <n v="25"/>
    <n v="9.25"/>
    <n v="100"/>
    <x v="0"/>
    <n v="4"/>
    <x v="6"/>
    <n v="17"/>
    <x v="5"/>
    <n v="2"/>
    <n v="90.75"/>
    <n v="0.90749999999999997"/>
    <n v="0"/>
    <x v="3"/>
  </r>
  <r>
    <n v="359"/>
    <d v="2022-12-15T00:00:00"/>
    <d v="1899-12-30T21:49:00"/>
    <n v="122"/>
    <x v="0"/>
    <x v="20"/>
    <x v="0"/>
    <n v="1"/>
    <n v="50"/>
    <n v="22.5"/>
    <n v="50"/>
    <x v="0"/>
    <n v="12"/>
    <x v="2"/>
    <n v="15"/>
    <x v="2"/>
    <n v="4"/>
    <n v="27.5"/>
    <n v="0.55000000000000004"/>
    <n v="0"/>
    <x v="0"/>
  </r>
  <r>
    <n v="1114"/>
    <d v="2022-08-18T00:00:00"/>
    <d v="1899-12-30T22:19:00"/>
    <n v="100"/>
    <x v="1"/>
    <x v="30"/>
    <x v="1"/>
    <n v="4"/>
    <n v="25"/>
    <n v="12"/>
    <n v="100"/>
    <x v="0"/>
    <n v="8"/>
    <x v="4"/>
    <n v="18"/>
    <x v="2"/>
    <n v="3"/>
    <n v="88"/>
    <n v="0.88"/>
    <n v="0"/>
    <x v="1"/>
  </r>
  <r>
    <n v="1359"/>
    <d v="2022-05-17T00:00:00"/>
    <d v="1899-12-30T22:21:00"/>
    <n v="55"/>
    <x v="0"/>
    <x v="20"/>
    <x v="0"/>
    <n v="1"/>
    <n v="50"/>
    <n v="19"/>
    <n v="50"/>
    <x v="0"/>
    <n v="5"/>
    <x v="7"/>
    <n v="17"/>
    <x v="6"/>
    <n v="2"/>
    <n v="31"/>
    <n v="0.62"/>
    <n v="0"/>
    <x v="3"/>
  </r>
  <r>
    <n v="773"/>
    <d v="2023-01-14T00:00:00"/>
    <d v="1899-12-30T19:10:00"/>
    <n v="3"/>
    <x v="0"/>
    <x v="38"/>
    <x v="2"/>
    <n v="4"/>
    <n v="500"/>
    <n v="175"/>
    <n v="2000"/>
    <x v="1"/>
    <n v="1"/>
    <x v="3"/>
    <n v="14"/>
    <x v="0"/>
    <n v="1"/>
    <n v="1825"/>
    <n v="0.91249999999999998"/>
    <n v="1"/>
    <x v="2"/>
  </r>
  <r>
    <n v="1773"/>
    <d v="2023-12-12T00:00:00"/>
    <d v="1899-12-30T18:50:00"/>
    <n v="80"/>
    <x v="0"/>
    <x v="38"/>
    <x v="2"/>
    <n v="4"/>
    <n v="500"/>
    <n v="165"/>
    <n v="2000"/>
    <x v="1"/>
    <n v="12"/>
    <x v="2"/>
    <n v="12"/>
    <x v="6"/>
    <n v="4"/>
    <n v="1835"/>
    <n v="0.91749999999999998"/>
    <n v="1"/>
    <x v="0"/>
  </r>
  <r>
    <n v="127"/>
    <d v="2023-05-20T00:00:00"/>
    <d v="1899-12-30T19:37:00"/>
    <n v="40"/>
    <x v="1"/>
    <x v="19"/>
    <x v="0"/>
    <n v="2"/>
    <n v="25"/>
    <n v="7.5"/>
    <n v="50"/>
    <x v="1"/>
    <n v="5"/>
    <x v="7"/>
    <n v="20"/>
    <x v="0"/>
    <n v="2"/>
    <n v="42.5"/>
    <n v="0.85"/>
    <n v="0"/>
    <x v="3"/>
  </r>
  <r>
    <n v="213"/>
    <d v="2023-08-13T00:00:00"/>
    <d v="1899-12-30T20:48:00"/>
    <n v="113"/>
    <x v="0"/>
    <x v="17"/>
    <x v="1"/>
    <n v="3"/>
    <n v="500"/>
    <n v="275"/>
    <n v="1500"/>
    <x v="1"/>
    <n v="8"/>
    <x v="4"/>
    <n v="13"/>
    <x v="5"/>
    <n v="3"/>
    <n v="1225"/>
    <n v="0.81666666700000001"/>
    <n v="1"/>
    <x v="1"/>
  </r>
  <r>
    <n v="487"/>
    <d v="2023-04-09T00:00:00"/>
    <d v="1899-12-30T21:03:00"/>
    <n v="36"/>
    <x v="0"/>
    <x v="47"/>
    <x v="0"/>
    <n v="4"/>
    <n v="500"/>
    <n v="235"/>
    <n v="2000"/>
    <x v="1"/>
    <n v="4"/>
    <x v="6"/>
    <n v="9"/>
    <x v="5"/>
    <n v="2"/>
    <n v="1765"/>
    <n v="0.88249999999999995"/>
    <n v="1"/>
    <x v="3"/>
  </r>
  <r>
    <n v="495"/>
    <d v="2022-06-24T00:00:00"/>
    <d v="1899-12-30T21:06:00"/>
    <n v="131"/>
    <x v="0"/>
    <x v="24"/>
    <x v="1"/>
    <n v="2"/>
    <n v="30"/>
    <n v="11.7"/>
    <n v="60"/>
    <x v="0"/>
    <n v="6"/>
    <x v="11"/>
    <n v="24"/>
    <x v="3"/>
    <n v="2"/>
    <n v="48.3"/>
    <n v="0.80500000000000005"/>
    <n v="0"/>
    <x v="3"/>
  </r>
  <r>
    <n v="605"/>
    <d v="2023-10-19T00:00:00"/>
    <d v="1899-12-30T22:24:00"/>
    <n v="76"/>
    <x v="0"/>
    <x v="5"/>
    <x v="2"/>
    <n v="2"/>
    <n v="500"/>
    <n v="180"/>
    <n v="1000"/>
    <x v="1"/>
    <n v="10"/>
    <x v="5"/>
    <n v="19"/>
    <x v="2"/>
    <n v="4"/>
    <n v="820"/>
    <n v="0.82"/>
    <n v="1"/>
    <x v="0"/>
  </r>
  <r>
    <n v="1127"/>
    <d v="2022-03-15T00:00:00"/>
    <d v="1899-12-30T19:26:00"/>
    <n v="87"/>
    <x v="1"/>
    <x v="19"/>
    <x v="0"/>
    <n v="2"/>
    <n v="25"/>
    <n v="13"/>
    <n v="50"/>
    <x v="0"/>
    <n v="3"/>
    <x v="8"/>
    <n v="15"/>
    <x v="6"/>
    <n v="1"/>
    <n v="37"/>
    <n v="0.74"/>
    <n v="0"/>
    <x v="2"/>
  </r>
  <r>
    <n v="1213"/>
    <d v="2023-06-21T00:00:00"/>
    <d v="1899-12-30T17:23:00"/>
    <n v="41"/>
    <x v="0"/>
    <x v="17"/>
    <x v="1"/>
    <n v="3"/>
    <n v="500"/>
    <n v="185"/>
    <n v="1500"/>
    <x v="1"/>
    <n v="6"/>
    <x v="11"/>
    <n v="21"/>
    <x v="4"/>
    <n v="2"/>
    <n v="1315"/>
    <n v="0.87666666699999996"/>
    <n v="1"/>
    <x v="3"/>
  </r>
  <r>
    <n v="1487"/>
    <d v="2023-02-01T00:00:00"/>
    <d v="1899-12-30T19:01:00"/>
    <n v="131"/>
    <x v="0"/>
    <x v="47"/>
    <x v="0"/>
    <n v="4"/>
    <n v="500"/>
    <n v="140"/>
    <n v="2000"/>
    <x v="1"/>
    <n v="2"/>
    <x v="10"/>
    <n v="1"/>
    <x v="4"/>
    <n v="1"/>
    <n v="1860"/>
    <n v="0.93"/>
    <n v="1"/>
    <x v="2"/>
  </r>
  <r>
    <n v="1495"/>
    <d v="2023-03-14T00:00:00"/>
    <d v="1899-12-30T22:37:00"/>
    <n v="113"/>
    <x v="0"/>
    <x v="24"/>
    <x v="1"/>
    <n v="2"/>
    <n v="30"/>
    <n v="16.2"/>
    <n v="60"/>
    <x v="1"/>
    <n v="3"/>
    <x v="8"/>
    <n v="14"/>
    <x v="6"/>
    <n v="1"/>
    <n v="43.8"/>
    <n v="0.73"/>
    <n v="0"/>
    <x v="2"/>
  </r>
  <r>
    <n v="1605"/>
    <d v="2022-01-24T00:00:00"/>
    <d v="1899-12-30T19:39:00"/>
    <n v="2"/>
    <x v="0"/>
    <x v="5"/>
    <x v="2"/>
    <n v="2"/>
    <n v="500"/>
    <n v="165"/>
    <n v="1000"/>
    <x v="0"/>
    <n v="1"/>
    <x v="3"/>
    <n v="24"/>
    <x v="1"/>
    <n v="1"/>
    <n v="835"/>
    <n v="0.83499999999999996"/>
    <n v="1"/>
    <x v="2"/>
  </r>
  <r>
    <n v="105"/>
    <d v="2023-06-18T00:00:00"/>
    <d v="1899-12-30T18:05:00"/>
    <n v="82"/>
    <x v="1"/>
    <x v="30"/>
    <x v="2"/>
    <n v="1"/>
    <n v="500"/>
    <n v="230"/>
    <n v="500"/>
    <x v="1"/>
    <n v="6"/>
    <x v="11"/>
    <n v="18"/>
    <x v="5"/>
    <n v="2"/>
    <n v="270"/>
    <n v="0.54"/>
    <n v="1"/>
    <x v="3"/>
  </r>
  <r>
    <n v="299"/>
    <d v="2023-01-25T00:00:00"/>
    <d v="1899-12-30T20:03:00"/>
    <n v="76"/>
    <x v="0"/>
    <x v="45"/>
    <x v="2"/>
    <n v="2"/>
    <n v="500"/>
    <n v="230"/>
    <n v="1000"/>
    <x v="1"/>
    <n v="1"/>
    <x v="3"/>
    <n v="25"/>
    <x v="4"/>
    <n v="1"/>
    <n v="770"/>
    <n v="0.77"/>
    <n v="1"/>
    <x v="2"/>
  </r>
  <r>
    <n v="934"/>
    <d v="2022-11-22T00:00:00"/>
    <d v="1899-12-30T18:20:00"/>
    <n v="111"/>
    <x v="0"/>
    <x v="7"/>
    <x v="1"/>
    <n v="1"/>
    <n v="500"/>
    <n v="240"/>
    <n v="500"/>
    <x v="0"/>
    <n v="11"/>
    <x v="0"/>
    <n v="22"/>
    <x v="6"/>
    <n v="4"/>
    <n v="260"/>
    <n v="0.52"/>
    <n v="1"/>
    <x v="0"/>
  </r>
  <r>
    <n v="1105"/>
    <d v="2022-11-12T00:00:00"/>
    <d v="1899-12-30T19:09:00"/>
    <n v="19"/>
    <x v="1"/>
    <x v="30"/>
    <x v="2"/>
    <n v="1"/>
    <n v="500"/>
    <n v="270"/>
    <n v="500"/>
    <x v="0"/>
    <n v="11"/>
    <x v="0"/>
    <n v="12"/>
    <x v="0"/>
    <n v="4"/>
    <n v="230"/>
    <n v="0.46"/>
    <n v="1"/>
    <x v="0"/>
  </r>
  <r>
    <n v="1299"/>
    <d v="2022-05-08T00:00:00"/>
    <d v="1899-12-30T18:58:00"/>
    <n v="11"/>
    <x v="0"/>
    <x v="45"/>
    <x v="2"/>
    <n v="2"/>
    <n v="500"/>
    <n v="250"/>
    <n v="1000"/>
    <x v="0"/>
    <n v="5"/>
    <x v="7"/>
    <n v="8"/>
    <x v="5"/>
    <n v="2"/>
    <n v="750"/>
    <n v="0.75"/>
    <n v="1"/>
    <x v="3"/>
  </r>
  <r>
    <n v="1934"/>
    <d v="2022-09-08T00:00:00"/>
    <d v="1899-12-30T17:06:00"/>
    <n v="69"/>
    <x v="0"/>
    <x v="7"/>
    <x v="1"/>
    <n v="1"/>
    <n v="500"/>
    <n v="150"/>
    <n v="500"/>
    <x v="0"/>
    <n v="9"/>
    <x v="9"/>
    <n v="8"/>
    <x v="2"/>
    <n v="3"/>
    <n v="350"/>
    <n v="0.7"/>
    <n v="1"/>
    <x v="1"/>
  </r>
  <r>
    <n v="270"/>
    <d v="2022-12-17T00:00:00"/>
    <d v="1899-12-30T17:46:00"/>
    <n v="84"/>
    <x v="0"/>
    <x v="22"/>
    <x v="2"/>
    <n v="1"/>
    <n v="300"/>
    <n v="117"/>
    <n v="300"/>
    <x v="0"/>
    <n v="12"/>
    <x v="2"/>
    <n v="17"/>
    <x v="0"/>
    <n v="4"/>
    <n v="183"/>
    <n v="0.61"/>
    <n v="1"/>
    <x v="0"/>
  </r>
  <r>
    <n v="338"/>
    <d v="2022-02-05T00:00:00"/>
    <d v="1899-12-30T21:26:00"/>
    <n v="44"/>
    <x v="0"/>
    <x v="29"/>
    <x v="1"/>
    <n v="2"/>
    <n v="50"/>
    <n v="20"/>
    <n v="100"/>
    <x v="0"/>
    <n v="2"/>
    <x v="10"/>
    <n v="5"/>
    <x v="0"/>
    <n v="1"/>
    <n v="80"/>
    <n v="0.8"/>
    <n v="0"/>
    <x v="2"/>
  </r>
  <r>
    <n v="543"/>
    <d v="2022-04-16T00:00:00"/>
    <d v="1899-12-30T20:30:00"/>
    <n v="121"/>
    <x v="0"/>
    <x v="28"/>
    <x v="1"/>
    <n v="2"/>
    <n v="300"/>
    <n v="75"/>
    <n v="600"/>
    <x v="0"/>
    <n v="4"/>
    <x v="6"/>
    <n v="16"/>
    <x v="0"/>
    <n v="2"/>
    <n v="525"/>
    <n v="0.875"/>
    <n v="1"/>
    <x v="3"/>
  </r>
  <r>
    <n v="1270"/>
    <d v="2022-08-25T00:00:00"/>
    <d v="1899-12-30T22:54:00"/>
    <n v="84"/>
    <x v="0"/>
    <x v="22"/>
    <x v="2"/>
    <n v="1"/>
    <n v="300"/>
    <n v="108"/>
    <n v="300"/>
    <x v="0"/>
    <n v="8"/>
    <x v="4"/>
    <n v="25"/>
    <x v="2"/>
    <n v="3"/>
    <n v="192"/>
    <n v="0.64"/>
    <n v="1"/>
    <x v="1"/>
  </r>
  <r>
    <n v="1338"/>
    <d v="2022-01-25T00:00:00"/>
    <d v="1899-12-30T19:55:00"/>
    <n v="31"/>
    <x v="0"/>
    <x v="29"/>
    <x v="1"/>
    <n v="2"/>
    <n v="50"/>
    <n v="19"/>
    <n v="100"/>
    <x v="0"/>
    <n v="1"/>
    <x v="3"/>
    <n v="25"/>
    <x v="6"/>
    <n v="1"/>
    <n v="81"/>
    <n v="0.81"/>
    <n v="0"/>
    <x v="2"/>
  </r>
  <r>
    <n v="1543"/>
    <d v="2022-10-03T00:00:00"/>
    <d v="1899-12-30T22:40:00"/>
    <n v="73"/>
    <x v="0"/>
    <x v="28"/>
    <x v="1"/>
    <n v="2"/>
    <n v="300"/>
    <n v="123"/>
    <n v="600"/>
    <x v="0"/>
    <n v="10"/>
    <x v="5"/>
    <n v="3"/>
    <x v="1"/>
    <n v="4"/>
    <n v="477"/>
    <n v="0.79500000000000004"/>
    <n v="1"/>
    <x v="0"/>
  </r>
  <r>
    <n v="557"/>
    <d v="2023-09-27T00:00:00"/>
    <d v="1899-12-30T20:01:00"/>
    <n v="155"/>
    <x v="1"/>
    <x v="36"/>
    <x v="1"/>
    <n v="3"/>
    <n v="30"/>
    <n v="12.9"/>
    <n v="90"/>
    <x v="1"/>
    <n v="9"/>
    <x v="9"/>
    <n v="27"/>
    <x v="4"/>
    <n v="3"/>
    <n v="77.099999999999994"/>
    <n v="0.85666666700000005"/>
    <n v="0"/>
    <x v="1"/>
  </r>
  <r>
    <n v="702"/>
    <d v="2023-03-03T00:00:00"/>
    <d v="1899-12-30T17:18:00"/>
    <n v="66"/>
    <x v="1"/>
    <x v="13"/>
    <x v="0"/>
    <n v="2"/>
    <n v="300"/>
    <n v="78"/>
    <n v="600"/>
    <x v="1"/>
    <n v="3"/>
    <x v="8"/>
    <n v="3"/>
    <x v="3"/>
    <n v="1"/>
    <n v="522"/>
    <n v="0.87"/>
    <n v="1"/>
    <x v="2"/>
  </r>
  <r>
    <n v="864"/>
    <d v="2023-07-31T00:00:00"/>
    <d v="1899-12-30T22:16:00"/>
    <n v="139"/>
    <x v="1"/>
    <x v="12"/>
    <x v="2"/>
    <n v="1"/>
    <n v="500"/>
    <n v="215"/>
    <n v="500"/>
    <x v="1"/>
    <n v="7"/>
    <x v="1"/>
    <n v="31"/>
    <x v="1"/>
    <n v="3"/>
    <n v="285"/>
    <n v="0.56999999999999995"/>
    <n v="1"/>
    <x v="1"/>
  </r>
  <r>
    <n v="1557"/>
    <d v="2022-08-04T00:00:00"/>
    <d v="1899-12-30T17:01:00"/>
    <n v="14"/>
    <x v="1"/>
    <x v="36"/>
    <x v="1"/>
    <n v="3"/>
    <n v="30"/>
    <n v="10.199999999999999"/>
    <n v="90"/>
    <x v="0"/>
    <n v="8"/>
    <x v="4"/>
    <n v="4"/>
    <x v="2"/>
    <n v="3"/>
    <n v="79.8"/>
    <n v="0.88666666699999996"/>
    <n v="0"/>
    <x v="1"/>
  </r>
  <r>
    <n v="1702"/>
    <d v="2023-07-31T00:00:00"/>
    <d v="1899-12-30T21:54:00"/>
    <n v="102"/>
    <x v="1"/>
    <x v="13"/>
    <x v="0"/>
    <n v="2"/>
    <n v="300"/>
    <n v="87"/>
    <n v="600"/>
    <x v="1"/>
    <n v="7"/>
    <x v="1"/>
    <n v="31"/>
    <x v="1"/>
    <n v="3"/>
    <n v="513"/>
    <n v="0.85499999999999998"/>
    <n v="1"/>
    <x v="1"/>
  </r>
  <r>
    <n v="1864"/>
    <d v="2023-04-30T00:00:00"/>
    <d v="1899-12-30T21:00:00"/>
    <n v="112"/>
    <x v="1"/>
    <x v="12"/>
    <x v="2"/>
    <n v="1"/>
    <n v="500"/>
    <n v="190"/>
    <n v="500"/>
    <x v="1"/>
    <n v="4"/>
    <x v="6"/>
    <n v="30"/>
    <x v="5"/>
    <n v="2"/>
    <n v="310"/>
    <n v="0.62"/>
    <n v="1"/>
    <x v="3"/>
  </r>
  <r>
    <n v="254"/>
    <d v="2022-12-14T00:00:00"/>
    <d v="1899-12-30T22:45:00"/>
    <n v="104"/>
    <x v="0"/>
    <x v="0"/>
    <x v="2"/>
    <n v="1"/>
    <n v="500"/>
    <n v="165"/>
    <n v="500"/>
    <x v="0"/>
    <n v="12"/>
    <x v="2"/>
    <n v="14"/>
    <x v="4"/>
    <n v="4"/>
    <n v="335"/>
    <n v="0.67"/>
    <n v="1"/>
    <x v="0"/>
  </r>
  <r>
    <n v="295"/>
    <d v="2022-02-01T00:00:00"/>
    <d v="1899-12-30T20:23:00"/>
    <n v="80"/>
    <x v="1"/>
    <x v="17"/>
    <x v="1"/>
    <n v="3"/>
    <n v="300"/>
    <n v="105"/>
    <n v="900"/>
    <x v="0"/>
    <n v="2"/>
    <x v="10"/>
    <n v="1"/>
    <x v="6"/>
    <n v="1"/>
    <n v="795"/>
    <n v="0.88333333300000005"/>
    <n v="1"/>
    <x v="2"/>
  </r>
  <r>
    <n v="457"/>
    <d v="2022-11-28T00:00:00"/>
    <d v="1899-12-30T22:49:00"/>
    <n v="38"/>
    <x v="1"/>
    <x v="43"/>
    <x v="1"/>
    <n v="3"/>
    <n v="300"/>
    <n v="147"/>
    <n v="900"/>
    <x v="0"/>
    <n v="11"/>
    <x v="0"/>
    <n v="28"/>
    <x v="1"/>
    <n v="4"/>
    <n v="753"/>
    <n v="0.83666666700000003"/>
    <n v="1"/>
    <x v="0"/>
  </r>
  <r>
    <n v="668"/>
    <d v="2022-06-17T00:00:00"/>
    <d v="1899-12-30T20:33:00"/>
    <n v="135"/>
    <x v="1"/>
    <x v="44"/>
    <x v="2"/>
    <n v="3"/>
    <n v="50"/>
    <n v="24.5"/>
    <n v="150"/>
    <x v="0"/>
    <n v="6"/>
    <x v="11"/>
    <n v="17"/>
    <x v="3"/>
    <n v="2"/>
    <n v="125.5"/>
    <n v="0.83666666700000003"/>
    <n v="1"/>
    <x v="3"/>
  </r>
  <r>
    <n v="850"/>
    <d v="2023-09-14T00:00:00"/>
    <d v="1899-12-30T19:01:00"/>
    <n v="58"/>
    <x v="1"/>
    <x v="6"/>
    <x v="1"/>
    <n v="2"/>
    <n v="500"/>
    <n v="235"/>
    <n v="1000"/>
    <x v="1"/>
    <n v="9"/>
    <x v="9"/>
    <n v="14"/>
    <x v="2"/>
    <n v="3"/>
    <n v="765"/>
    <n v="0.76500000000000001"/>
    <n v="1"/>
    <x v="1"/>
  </r>
  <r>
    <n v="1254"/>
    <d v="2023-04-12T00:00:00"/>
    <d v="1899-12-30T18:24:00"/>
    <n v="86"/>
    <x v="0"/>
    <x v="0"/>
    <x v="2"/>
    <n v="1"/>
    <n v="500"/>
    <n v="180"/>
    <n v="500"/>
    <x v="1"/>
    <n v="4"/>
    <x v="6"/>
    <n v="12"/>
    <x v="4"/>
    <n v="2"/>
    <n v="320"/>
    <n v="0.64"/>
    <n v="1"/>
    <x v="3"/>
  </r>
  <r>
    <n v="1295"/>
    <d v="2023-11-04T00:00:00"/>
    <d v="1899-12-30T19:28:00"/>
    <n v="86"/>
    <x v="1"/>
    <x v="17"/>
    <x v="1"/>
    <n v="3"/>
    <n v="300"/>
    <n v="81"/>
    <n v="900"/>
    <x v="1"/>
    <n v="11"/>
    <x v="0"/>
    <n v="4"/>
    <x v="0"/>
    <n v="4"/>
    <n v="819"/>
    <n v="0.91"/>
    <n v="1"/>
    <x v="0"/>
  </r>
  <r>
    <n v="1457"/>
    <d v="2023-03-25T00:00:00"/>
    <d v="1899-12-30T21:31:00"/>
    <n v="140"/>
    <x v="1"/>
    <x v="43"/>
    <x v="1"/>
    <n v="3"/>
    <n v="300"/>
    <n v="108"/>
    <n v="900"/>
    <x v="1"/>
    <n v="3"/>
    <x v="8"/>
    <n v="25"/>
    <x v="0"/>
    <n v="1"/>
    <n v="792"/>
    <n v="0.88"/>
    <n v="1"/>
    <x v="2"/>
  </r>
  <r>
    <n v="1668"/>
    <d v="2023-03-13T00:00:00"/>
    <d v="1899-12-30T21:40:00"/>
    <n v="132"/>
    <x v="1"/>
    <x v="44"/>
    <x v="2"/>
    <n v="3"/>
    <n v="50"/>
    <n v="14"/>
    <n v="150"/>
    <x v="1"/>
    <n v="3"/>
    <x v="8"/>
    <n v="13"/>
    <x v="1"/>
    <n v="1"/>
    <n v="136"/>
    <n v="0.90666666699999998"/>
    <n v="1"/>
    <x v="2"/>
  </r>
  <r>
    <n v="1850"/>
    <d v="2022-02-16T00:00:00"/>
    <d v="1899-12-30T20:44:00"/>
    <n v="154"/>
    <x v="1"/>
    <x v="6"/>
    <x v="1"/>
    <n v="2"/>
    <n v="500"/>
    <n v="240"/>
    <n v="1000"/>
    <x v="0"/>
    <n v="2"/>
    <x v="10"/>
    <n v="16"/>
    <x v="4"/>
    <n v="1"/>
    <n v="760"/>
    <n v="0.76"/>
    <n v="1"/>
    <x v="2"/>
  </r>
  <r>
    <n v="541"/>
    <d v="2022-12-25T00:00:00"/>
    <d v="1899-12-30T18:37:00"/>
    <n v="39"/>
    <x v="0"/>
    <x v="34"/>
    <x v="1"/>
    <n v="1"/>
    <n v="500"/>
    <n v="215"/>
    <n v="500"/>
    <x v="0"/>
    <n v="12"/>
    <x v="2"/>
    <n v="25"/>
    <x v="5"/>
    <n v="4"/>
    <n v="285"/>
    <n v="0.56999999999999995"/>
    <n v="1"/>
    <x v="0"/>
  </r>
  <r>
    <n v="980"/>
    <d v="2022-10-14T00:00:00"/>
    <d v="1899-12-30T19:51:00"/>
    <n v="147"/>
    <x v="1"/>
    <x v="16"/>
    <x v="2"/>
    <n v="3"/>
    <n v="25"/>
    <n v="12.5"/>
    <n v="75"/>
    <x v="0"/>
    <n v="10"/>
    <x v="5"/>
    <n v="14"/>
    <x v="3"/>
    <n v="4"/>
    <n v="62.5"/>
    <n v="0.83333333300000001"/>
    <n v="0"/>
    <x v="0"/>
  </r>
  <r>
    <n v="1541"/>
    <d v="2023-10-02T00:00:00"/>
    <d v="1899-12-30T22:17:00"/>
    <n v="57"/>
    <x v="0"/>
    <x v="34"/>
    <x v="1"/>
    <n v="1"/>
    <n v="500"/>
    <n v="195"/>
    <n v="500"/>
    <x v="1"/>
    <n v="10"/>
    <x v="5"/>
    <n v="2"/>
    <x v="1"/>
    <n v="4"/>
    <n v="305"/>
    <n v="0.61"/>
    <n v="1"/>
    <x v="0"/>
  </r>
  <r>
    <n v="1980"/>
    <d v="2023-08-23T00:00:00"/>
    <d v="1899-12-30T20:30:00"/>
    <n v="112"/>
    <x v="1"/>
    <x v="16"/>
    <x v="2"/>
    <n v="3"/>
    <n v="25"/>
    <n v="6.5"/>
    <n v="75"/>
    <x v="1"/>
    <n v="8"/>
    <x v="4"/>
    <n v="23"/>
    <x v="4"/>
    <n v="3"/>
    <n v="68.5"/>
    <n v="0.91333333299999997"/>
    <n v="0"/>
    <x v="1"/>
  </r>
  <r>
    <n v="262"/>
    <d v="2023-09-15T00:00:00"/>
    <d v="1899-12-30T20:33:00"/>
    <n v="30"/>
    <x v="1"/>
    <x v="37"/>
    <x v="1"/>
    <n v="4"/>
    <n v="30"/>
    <n v="12.6"/>
    <n v="120"/>
    <x v="1"/>
    <n v="9"/>
    <x v="9"/>
    <n v="15"/>
    <x v="3"/>
    <n v="3"/>
    <n v="107.4"/>
    <n v="0.89500000000000002"/>
    <n v="0"/>
    <x v="1"/>
  </r>
  <r>
    <n v="467"/>
    <d v="2022-01-24T00:00:00"/>
    <d v="1899-12-30T22:39:00"/>
    <n v="151"/>
    <x v="1"/>
    <x v="21"/>
    <x v="2"/>
    <n v="3"/>
    <n v="50"/>
    <n v="14.5"/>
    <n v="150"/>
    <x v="0"/>
    <n v="1"/>
    <x v="3"/>
    <n v="24"/>
    <x v="1"/>
    <n v="1"/>
    <n v="135.5"/>
    <n v="0.90333333299999996"/>
    <n v="1"/>
    <x v="2"/>
  </r>
  <r>
    <n v="1262"/>
    <d v="2022-08-13T00:00:00"/>
    <d v="1899-12-30T20:33:00"/>
    <n v="127"/>
    <x v="1"/>
    <x v="37"/>
    <x v="1"/>
    <n v="4"/>
    <n v="30"/>
    <n v="8.4"/>
    <n v="120"/>
    <x v="0"/>
    <n v="8"/>
    <x v="4"/>
    <n v="13"/>
    <x v="0"/>
    <n v="3"/>
    <n v="111.6"/>
    <n v="0.93"/>
    <n v="0"/>
    <x v="1"/>
  </r>
  <r>
    <n v="1467"/>
    <d v="2023-08-13T00:00:00"/>
    <d v="1899-12-30T19:31:00"/>
    <n v="89"/>
    <x v="1"/>
    <x v="21"/>
    <x v="2"/>
    <n v="3"/>
    <n v="50"/>
    <n v="14"/>
    <n v="150"/>
    <x v="1"/>
    <n v="8"/>
    <x v="4"/>
    <n v="13"/>
    <x v="5"/>
    <n v="3"/>
    <n v="136"/>
    <n v="0.90666666699999998"/>
    <n v="1"/>
    <x v="1"/>
  </r>
  <r>
    <n v="463"/>
    <d v="2023-01-29T00:00:00"/>
    <d v="1899-12-30T20:22:00"/>
    <n v="55"/>
    <x v="1"/>
    <x v="29"/>
    <x v="1"/>
    <n v="3"/>
    <n v="500"/>
    <n v="175"/>
    <n v="1500"/>
    <x v="1"/>
    <n v="1"/>
    <x v="3"/>
    <n v="29"/>
    <x v="5"/>
    <n v="1"/>
    <n v="1325"/>
    <n v="0.88333333300000005"/>
    <n v="1"/>
    <x v="2"/>
  </r>
  <r>
    <n v="1463"/>
    <d v="2022-07-29T00:00:00"/>
    <d v="1899-12-30T19:45:00"/>
    <n v="98"/>
    <x v="1"/>
    <x v="29"/>
    <x v="1"/>
    <n v="3"/>
    <n v="500"/>
    <n v="170"/>
    <n v="1500"/>
    <x v="0"/>
    <n v="7"/>
    <x v="1"/>
    <n v="29"/>
    <x v="3"/>
    <n v="3"/>
    <n v="1330"/>
    <n v="0.88666666699999996"/>
    <n v="1"/>
    <x v="1"/>
  </r>
  <r>
    <n v="598"/>
    <d v="2022-06-23T00:00:00"/>
    <d v="1899-12-30T17:02:00"/>
    <n v="7"/>
    <x v="0"/>
    <x v="5"/>
    <x v="1"/>
    <n v="4"/>
    <n v="30"/>
    <n v="11.1"/>
    <n v="120"/>
    <x v="0"/>
    <n v="6"/>
    <x v="11"/>
    <n v="23"/>
    <x v="2"/>
    <n v="2"/>
    <n v="108.9"/>
    <n v="0.90749999999999997"/>
    <n v="0"/>
    <x v="3"/>
  </r>
  <r>
    <n v="667"/>
    <d v="2022-12-01T00:00:00"/>
    <d v="1899-12-30T18:46:00"/>
    <n v="22"/>
    <x v="1"/>
    <x v="33"/>
    <x v="2"/>
    <n v="1"/>
    <n v="500"/>
    <n v="190"/>
    <n v="500"/>
    <x v="0"/>
    <n v="12"/>
    <x v="2"/>
    <n v="1"/>
    <x v="2"/>
    <n v="4"/>
    <n v="310"/>
    <n v="0.62"/>
    <n v="1"/>
    <x v="0"/>
  </r>
  <r>
    <n v="672"/>
    <d v="2022-02-17T00:00:00"/>
    <d v="1899-12-30T19:44:00"/>
    <n v="1"/>
    <x v="1"/>
    <x v="23"/>
    <x v="1"/>
    <n v="2"/>
    <n v="50"/>
    <n v="27.5"/>
    <n v="100"/>
    <x v="0"/>
    <n v="2"/>
    <x v="10"/>
    <n v="17"/>
    <x v="2"/>
    <n v="1"/>
    <n v="72.5"/>
    <n v="0.72499999999999998"/>
    <n v="0"/>
    <x v="2"/>
  </r>
  <r>
    <n v="1598"/>
    <d v="2023-01-15T00:00:00"/>
    <d v="1899-12-30T19:17:00"/>
    <n v="126"/>
    <x v="0"/>
    <x v="5"/>
    <x v="1"/>
    <n v="4"/>
    <n v="30"/>
    <n v="9.9"/>
    <n v="120"/>
    <x v="1"/>
    <n v="1"/>
    <x v="3"/>
    <n v="15"/>
    <x v="5"/>
    <n v="1"/>
    <n v="110.1"/>
    <n v="0.91749999999999998"/>
    <n v="0"/>
    <x v="2"/>
  </r>
  <r>
    <n v="1667"/>
    <d v="2022-07-04T00:00:00"/>
    <d v="1899-12-30T19:09:00"/>
    <n v="40"/>
    <x v="1"/>
    <x v="33"/>
    <x v="2"/>
    <n v="1"/>
    <n v="500"/>
    <n v="125"/>
    <n v="500"/>
    <x v="0"/>
    <n v="7"/>
    <x v="1"/>
    <n v="4"/>
    <x v="1"/>
    <n v="3"/>
    <n v="375"/>
    <n v="0.75"/>
    <n v="1"/>
    <x v="1"/>
  </r>
  <r>
    <n v="1672"/>
    <d v="2023-03-28T00:00:00"/>
    <d v="1899-12-30T22:34:00"/>
    <n v="87"/>
    <x v="1"/>
    <x v="23"/>
    <x v="1"/>
    <n v="2"/>
    <n v="50"/>
    <n v="15.5"/>
    <n v="100"/>
    <x v="1"/>
    <n v="3"/>
    <x v="8"/>
    <n v="28"/>
    <x v="6"/>
    <n v="1"/>
    <n v="84.5"/>
    <n v="0.84499999999999997"/>
    <n v="0"/>
    <x v="2"/>
  </r>
  <r>
    <n v="949"/>
    <d v="2023-06-20T00:00:00"/>
    <d v="1899-12-30T20:28:00"/>
    <n v="21"/>
    <x v="1"/>
    <x v="0"/>
    <x v="2"/>
    <n v="2"/>
    <n v="25"/>
    <n v="9"/>
    <n v="50"/>
    <x v="1"/>
    <n v="6"/>
    <x v="11"/>
    <n v="20"/>
    <x v="6"/>
    <n v="2"/>
    <n v="41"/>
    <n v="0.82"/>
    <n v="0"/>
    <x v="3"/>
  </r>
  <r>
    <n v="1949"/>
    <d v="2022-11-11T00:00:00"/>
    <d v="1899-12-30T20:24:00"/>
    <n v="105"/>
    <x v="1"/>
    <x v="0"/>
    <x v="2"/>
    <n v="2"/>
    <n v="25"/>
    <n v="12.5"/>
    <n v="50"/>
    <x v="0"/>
    <n v="11"/>
    <x v="0"/>
    <n v="11"/>
    <x v="3"/>
    <n v="4"/>
    <n v="37.5"/>
    <n v="0.75"/>
    <n v="0"/>
    <x v="0"/>
  </r>
  <r>
    <n v="27"/>
    <d v="2023-12-14T00:00:00"/>
    <d v="1899-12-30T19:44:00"/>
    <n v="39"/>
    <x v="1"/>
    <x v="9"/>
    <x v="1"/>
    <n v="2"/>
    <n v="25"/>
    <n v="8.25"/>
    <n v="50"/>
    <x v="1"/>
    <n v="12"/>
    <x v="2"/>
    <n v="14"/>
    <x v="2"/>
    <n v="4"/>
    <n v="41.75"/>
    <n v="0.83499999999999996"/>
    <n v="0"/>
    <x v="0"/>
  </r>
  <r>
    <n v="347"/>
    <d v="2022-03-26T00:00:00"/>
    <d v="1899-12-30T19:31:00"/>
    <n v="26"/>
    <x v="0"/>
    <x v="25"/>
    <x v="2"/>
    <n v="1"/>
    <n v="25"/>
    <n v="7"/>
    <n v="25"/>
    <x v="0"/>
    <n v="3"/>
    <x v="8"/>
    <n v="26"/>
    <x v="0"/>
    <n v="1"/>
    <n v="18"/>
    <n v="0.72"/>
    <n v="0"/>
    <x v="2"/>
  </r>
  <r>
    <n v="687"/>
    <d v="2022-06-27T00:00:00"/>
    <d v="1899-12-30T17:14:00"/>
    <n v="86"/>
    <x v="1"/>
    <x v="21"/>
    <x v="2"/>
    <n v="1"/>
    <n v="300"/>
    <n v="150"/>
    <n v="300"/>
    <x v="0"/>
    <n v="6"/>
    <x v="11"/>
    <n v="27"/>
    <x v="1"/>
    <n v="2"/>
    <n v="150"/>
    <n v="0.5"/>
    <n v="1"/>
    <x v="3"/>
  </r>
  <r>
    <n v="1027"/>
    <d v="2022-04-30T00:00:00"/>
    <d v="1899-12-30T21:00:00"/>
    <n v="131"/>
    <x v="1"/>
    <x v="9"/>
    <x v="1"/>
    <n v="2"/>
    <n v="25"/>
    <n v="7.5"/>
    <n v="50"/>
    <x v="0"/>
    <n v="4"/>
    <x v="6"/>
    <n v="30"/>
    <x v="0"/>
    <n v="2"/>
    <n v="42.5"/>
    <n v="0.85"/>
    <n v="0"/>
    <x v="3"/>
  </r>
  <r>
    <n v="1347"/>
    <d v="2023-11-21T00:00:00"/>
    <d v="1899-12-30T21:55:00"/>
    <n v="7"/>
    <x v="0"/>
    <x v="25"/>
    <x v="2"/>
    <n v="1"/>
    <n v="25"/>
    <n v="13"/>
    <n v="25"/>
    <x v="1"/>
    <n v="11"/>
    <x v="0"/>
    <n v="21"/>
    <x v="6"/>
    <n v="4"/>
    <n v="12"/>
    <n v="0.48"/>
    <n v="0"/>
    <x v="0"/>
  </r>
  <r>
    <n v="1687"/>
    <d v="2023-02-17T00:00:00"/>
    <d v="1899-12-30T22:27:00"/>
    <n v="102"/>
    <x v="1"/>
    <x v="21"/>
    <x v="2"/>
    <n v="1"/>
    <n v="300"/>
    <n v="81"/>
    <n v="300"/>
    <x v="1"/>
    <n v="2"/>
    <x v="10"/>
    <n v="17"/>
    <x v="3"/>
    <n v="1"/>
    <n v="219"/>
    <n v="0.73"/>
    <n v="1"/>
    <x v="2"/>
  </r>
  <r>
    <n v="549"/>
    <d v="2022-11-03T00:00:00"/>
    <d v="1899-12-30T19:39:00"/>
    <n v="114"/>
    <x v="1"/>
    <x v="20"/>
    <x v="1"/>
    <n v="2"/>
    <n v="50"/>
    <n v="12.5"/>
    <n v="100"/>
    <x v="0"/>
    <n v="11"/>
    <x v="0"/>
    <n v="3"/>
    <x v="2"/>
    <n v="4"/>
    <n v="87.5"/>
    <n v="0.875"/>
    <n v="0"/>
    <x v="0"/>
  </r>
  <r>
    <n v="675"/>
    <d v="2023-07-19T00:00:00"/>
    <d v="1899-12-30T18:10:00"/>
    <n v="26"/>
    <x v="1"/>
    <x v="14"/>
    <x v="0"/>
    <n v="2"/>
    <n v="30"/>
    <n v="15.9"/>
    <n v="60"/>
    <x v="1"/>
    <n v="7"/>
    <x v="1"/>
    <n v="19"/>
    <x v="4"/>
    <n v="3"/>
    <n v="44.1"/>
    <n v="0.73499999999999999"/>
    <n v="0"/>
    <x v="1"/>
  </r>
  <r>
    <n v="730"/>
    <d v="2022-02-20T00:00:00"/>
    <d v="1899-12-30T19:38:00"/>
    <n v="131"/>
    <x v="1"/>
    <x v="31"/>
    <x v="0"/>
    <n v="2"/>
    <n v="25"/>
    <n v="13.25"/>
    <n v="50"/>
    <x v="0"/>
    <n v="2"/>
    <x v="10"/>
    <n v="20"/>
    <x v="5"/>
    <n v="1"/>
    <n v="36.75"/>
    <n v="0.73499999999999999"/>
    <n v="0"/>
    <x v="2"/>
  </r>
  <r>
    <n v="798"/>
    <d v="2023-01-20T00:00:00"/>
    <d v="1899-12-30T21:19:00"/>
    <n v="73"/>
    <x v="0"/>
    <x v="45"/>
    <x v="0"/>
    <n v="1"/>
    <n v="50"/>
    <n v="15"/>
    <n v="50"/>
    <x v="1"/>
    <n v="1"/>
    <x v="3"/>
    <n v="20"/>
    <x v="3"/>
    <n v="1"/>
    <n v="35"/>
    <n v="0.7"/>
    <n v="0"/>
    <x v="2"/>
  </r>
  <r>
    <n v="1549"/>
    <d v="2023-11-15T00:00:00"/>
    <d v="1899-12-30T19:25:00"/>
    <n v="109"/>
    <x v="1"/>
    <x v="20"/>
    <x v="1"/>
    <n v="2"/>
    <n v="50"/>
    <n v="14.5"/>
    <n v="100"/>
    <x v="1"/>
    <n v="11"/>
    <x v="0"/>
    <n v="15"/>
    <x v="4"/>
    <n v="4"/>
    <n v="85.5"/>
    <n v="0.85499999999999998"/>
    <n v="0"/>
    <x v="0"/>
  </r>
  <r>
    <n v="1675"/>
    <d v="2022-05-17T00:00:00"/>
    <d v="1899-12-30T19:55:00"/>
    <n v="152"/>
    <x v="1"/>
    <x v="14"/>
    <x v="0"/>
    <n v="2"/>
    <n v="30"/>
    <n v="16.2"/>
    <n v="60"/>
    <x v="0"/>
    <n v="5"/>
    <x v="7"/>
    <n v="17"/>
    <x v="6"/>
    <n v="2"/>
    <n v="43.8"/>
    <n v="0.73"/>
    <n v="0"/>
    <x v="3"/>
  </r>
  <r>
    <n v="1730"/>
    <d v="2023-08-14T00:00:00"/>
    <d v="1899-12-30T19:17:00"/>
    <n v="116"/>
    <x v="1"/>
    <x v="31"/>
    <x v="0"/>
    <n v="2"/>
    <n v="25"/>
    <n v="10.75"/>
    <n v="50"/>
    <x v="1"/>
    <n v="8"/>
    <x v="4"/>
    <n v="14"/>
    <x v="1"/>
    <n v="3"/>
    <n v="39.25"/>
    <n v="0.78500000000000003"/>
    <n v="0"/>
    <x v="1"/>
  </r>
  <r>
    <n v="1798"/>
    <d v="2023-07-18T00:00:00"/>
    <d v="1899-12-30T20:26:00"/>
    <n v="96"/>
    <x v="0"/>
    <x v="45"/>
    <x v="0"/>
    <n v="1"/>
    <n v="50"/>
    <n v="20"/>
    <n v="50"/>
    <x v="1"/>
    <n v="7"/>
    <x v="1"/>
    <n v="18"/>
    <x v="6"/>
    <n v="3"/>
    <n v="30"/>
    <n v="0.6"/>
    <n v="0"/>
    <x v="1"/>
  </r>
  <r>
    <n v="13"/>
    <d v="2023-02-08T00:00:00"/>
    <d v="1899-12-30T17:43:00"/>
    <n v="106"/>
    <x v="0"/>
    <x v="30"/>
    <x v="2"/>
    <n v="3"/>
    <n v="500"/>
    <n v="245"/>
    <n v="1500"/>
    <x v="1"/>
    <n v="2"/>
    <x v="10"/>
    <n v="8"/>
    <x v="4"/>
    <n v="1"/>
    <n v="1255"/>
    <n v="0.83666666700000003"/>
    <n v="1"/>
    <x v="2"/>
  </r>
  <r>
    <n v="35"/>
    <d v="2022-10-29T00:00:00"/>
    <d v="1899-12-30T17:30:00"/>
    <n v="122"/>
    <x v="1"/>
    <x v="43"/>
    <x v="1"/>
    <n v="3"/>
    <n v="300"/>
    <n v="126"/>
    <n v="900"/>
    <x v="0"/>
    <n v="10"/>
    <x v="5"/>
    <n v="29"/>
    <x v="0"/>
    <n v="4"/>
    <n v="774"/>
    <n v="0.86"/>
    <n v="1"/>
    <x v="0"/>
  </r>
  <r>
    <n v="140"/>
    <d v="2022-07-07T00:00:00"/>
    <d v="1899-12-30T20:20:00"/>
    <n v="61"/>
    <x v="0"/>
    <x v="9"/>
    <x v="2"/>
    <n v="1"/>
    <n v="30"/>
    <n v="14.4"/>
    <n v="30"/>
    <x v="0"/>
    <n v="7"/>
    <x v="1"/>
    <n v="7"/>
    <x v="2"/>
    <n v="3"/>
    <n v="15.6"/>
    <n v="0.52"/>
    <n v="0"/>
    <x v="1"/>
  </r>
  <r>
    <n v="206"/>
    <d v="2022-09-02T00:00:00"/>
    <d v="1899-12-30T18:18:00"/>
    <n v="31"/>
    <x v="0"/>
    <x v="45"/>
    <x v="0"/>
    <n v="1"/>
    <n v="25"/>
    <n v="11.75"/>
    <n v="25"/>
    <x v="0"/>
    <n v="9"/>
    <x v="9"/>
    <n v="2"/>
    <x v="3"/>
    <n v="3"/>
    <n v="13.25"/>
    <n v="0.53"/>
    <n v="0"/>
    <x v="1"/>
  </r>
  <r>
    <n v="261"/>
    <d v="2022-02-06T00:00:00"/>
    <d v="1899-12-30T17:48:00"/>
    <n v="16"/>
    <x v="0"/>
    <x v="40"/>
    <x v="0"/>
    <n v="2"/>
    <n v="25"/>
    <n v="8.25"/>
    <n v="50"/>
    <x v="0"/>
    <n v="2"/>
    <x v="10"/>
    <n v="6"/>
    <x v="5"/>
    <n v="1"/>
    <n v="41.75"/>
    <n v="0.83499999999999996"/>
    <n v="0"/>
    <x v="2"/>
  </r>
  <r>
    <n v="279"/>
    <d v="2023-08-10T00:00:00"/>
    <d v="1899-12-30T17:29:00"/>
    <n v="38"/>
    <x v="0"/>
    <x v="20"/>
    <x v="0"/>
    <n v="1"/>
    <n v="500"/>
    <n v="210"/>
    <n v="500"/>
    <x v="1"/>
    <n v="8"/>
    <x v="4"/>
    <n v="10"/>
    <x v="2"/>
    <n v="3"/>
    <n v="290"/>
    <n v="0.57999999999999996"/>
    <n v="1"/>
    <x v="1"/>
  </r>
  <r>
    <n v="308"/>
    <d v="2022-03-31T00:00:00"/>
    <d v="1899-12-30T19:12:00"/>
    <n v="130"/>
    <x v="1"/>
    <x v="23"/>
    <x v="1"/>
    <n v="4"/>
    <n v="300"/>
    <n v="126"/>
    <n v="1200"/>
    <x v="0"/>
    <n v="3"/>
    <x v="8"/>
    <n v="31"/>
    <x v="2"/>
    <n v="1"/>
    <n v="1074"/>
    <n v="0.89500000000000002"/>
    <n v="1"/>
    <x v="2"/>
  </r>
  <r>
    <n v="418"/>
    <d v="2022-04-01T00:00:00"/>
    <d v="1899-12-30T18:05:00"/>
    <n v="95"/>
    <x v="1"/>
    <x v="13"/>
    <x v="2"/>
    <n v="2"/>
    <n v="500"/>
    <n v="155"/>
    <n v="1000"/>
    <x v="0"/>
    <n v="4"/>
    <x v="6"/>
    <n v="1"/>
    <x v="3"/>
    <n v="2"/>
    <n v="845"/>
    <n v="0.84499999999999997"/>
    <n v="1"/>
    <x v="3"/>
  </r>
  <r>
    <n v="1013"/>
    <d v="2022-07-16T00:00:00"/>
    <d v="1899-12-30T19:38:00"/>
    <n v="111"/>
    <x v="0"/>
    <x v="30"/>
    <x v="2"/>
    <n v="3"/>
    <n v="500"/>
    <n v="200"/>
    <n v="1500"/>
    <x v="0"/>
    <n v="7"/>
    <x v="1"/>
    <n v="16"/>
    <x v="0"/>
    <n v="3"/>
    <n v="1300"/>
    <n v="0.86666666699999995"/>
    <n v="1"/>
    <x v="1"/>
  </r>
  <r>
    <n v="1035"/>
    <d v="2023-04-26T00:00:00"/>
    <d v="1899-12-30T21:56:00"/>
    <n v="52"/>
    <x v="1"/>
    <x v="43"/>
    <x v="1"/>
    <n v="3"/>
    <n v="300"/>
    <n v="105"/>
    <n v="900"/>
    <x v="1"/>
    <n v="4"/>
    <x v="6"/>
    <n v="26"/>
    <x v="4"/>
    <n v="2"/>
    <n v="795"/>
    <n v="0.88333333300000005"/>
    <n v="1"/>
    <x v="3"/>
  </r>
  <r>
    <n v="1140"/>
    <d v="2022-05-22T00:00:00"/>
    <d v="1899-12-30T19:26:00"/>
    <n v="154"/>
    <x v="0"/>
    <x v="9"/>
    <x v="2"/>
    <n v="1"/>
    <n v="30"/>
    <n v="15.9"/>
    <n v="30"/>
    <x v="0"/>
    <n v="5"/>
    <x v="7"/>
    <n v="22"/>
    <x v="5"/>
    <n v="2"/>
    <n v="14.1"/>
    <n v="0.47"/>
    <n v="0"/>
    <x v="3"/>
  </r>
  <r>
    <n v="1206"/>
    <d v="2023-05-14T00:00:00"/>
    <d v="1899-12-30T19:45:00"/>
    <n v="68"/>
    <x v="0"/>
    <x v="45"/>
    <x v="0"/>
    <n v="1"/>
    <n v="25"/>
    <n v="8.5"/>
    <n v="25"/>
    <x v="1"/>
    <n v="5"/>
    <x v="7"/>
    <n v="14"/>
    <x v="5"/>
    <n v="2"/>
    <n v="16.5"/>
    <n v="0.66"/>
    <n v="0"/>
    <x v="3"/>
  </r>
  <r>
    <n v="1261"/>
    <d v="2022-09-27T00:00:00"/>
    <d v="1899-12-30T21:19:00"/>
    <n v="116"/>
    <x v="0"/>
    <x v="40"/>
    <x v="0"/>
    <n v="2"/>
    <n v="25"/>
    <n v="6.25"/>
    <n v="50"/>
    <x v="0"/>
    <n v="9"/>
    <x v="9"/>
    <n v="27"/>
    <x v="6"/>
    <n v="3"/>
    <n v="43.75"/>
    <n v="0.875"/>
    <n v="0"/>
    <x v="1"/>
  </r>
  <r>
    <n v="1279"/>
    <d v="2022-04-21T00:00:00"/>
    <d v="1899-12-30T22:55:00"/>
    <n v="116"/>
    <x v="0"/>
    <x v="20"/>
    <x v="0"/>
    <n v="1"/>
    <n v="500"/>
    <n v="170"/>
    <n v="500"/>
    <x v="0"/>
    <n v="4"/>
    <x v="6"/>
    <n v="21"/>
    <x v="2"/>
    <n v="2"/>
    <n v="330"/>
    <n v="0.66"/>
    <n v="1"/>
    <x v="3"/>
  </r>
  <r>
    <n v="1308"/>
    <d v="2023-06-19T00:00:00"/>
    <d v="1899-12-30T22:39:00"/>
    <n v="91"/>
    <x v="1"/>
    <x v="23"/>
    <x v="1"/>
    <n v="4"/>
    <n v="300"/>
    <n v="150"/>
    <n v="1200"/>
    <x v="1"/>
    <n v="6"/>
    <x v="11"/>
    <n v="19"/>
    <x v="1"/>
    <n v="2"/>
    <n v="1050"/>
    <n v="0.875"/>
    <n v="1"/>
    <x v="3"/>
  </r>
  <r>
    <n v="1418"/>
    <d v="2022-09-17T00:00:00"/>
    <d v="1899-12-30T18:19:00"/>
    <n v="68"/>
    <x v="1"/>
    <x v="13"/>
    <x v="2"/>
    <n v="2"/>
    <n v="500"/>
    <n v="215"/>
    <n v="1000"/>
    <x v="0"/>
    <n v="9"/>
    <x v="9"/>
    <n v="17"/>
    <x v="0"/>
    <n v="3"/>
    <n v="785"/>
    <n v="0.78500000000000003"/>
    <n v="1"/>
    <x v="1"/>
  </r>
  <r>
    <n v="612"/>
    <d v="2022-02-23T00:00:00"/>
    <d v="1899-12-30T19:06:00"/>
    <n v="77"/>
    <x v="1"/>
    <x v="45"/>
    <x v="2"/>
    <n v="1"/>
    <n v="500"/>
    <n v="235"/>
    <n v="500"/>
    <x v="0"/>
    <n v="2"/>
    <x v="10"/>
    <n v="23"/>
    <x v="4"/>
    <n v="1"/>
    <n v="265"/>
    <n v="0.53"/>
    <n v="1"/>
    <x v="2"/>
  </r>
  <r>
    <n v="875"/>
    <d v="2023-11-30T00:00:00"/>
    <d v="1899-12-30T21:47:00"/>
    <n v="134"/>
    <x v="1"/>
    <x v="12"/>
    <x v="2"/>
    <n v="4"/>
    <n v="500"/>
    <n v="135"/>
    <n v="2000"/>
    <x v="1"/>
    <n v="11"/>
    <x v="0"/>
    <n v="30"/>
    <x v="2"/>
    <n v="4"/>
    <n v="1865"/>
    <n v="0.9325"/>
    <n v="1"/>
    <x v="0"/>
  </r>
  <r>
    <n v="1612"/>
    <d v="2022-12-18T00:00:00"/>
    <d v="1899-12-30T21:14:00"/>
    <n v="140"/>
    <x v="1"/>
    <x v="45"/>
    <x v="2"/>
    <n v="1"/>
    <n v="500"/>
    <n v="230"/>
    <n v="500"/>
    <x v="0"/>
    <n v="12"/>
    <x v="2"/>
    <n v="18"/>
    <x v="5"/>
    <n v="4"/>
    <n v="270"/>
    <n v="0.54"/>
    <n v="1"/>
    <x v="0"/>
  </r>
  <r>
    <n v="1875"/>
    <d v="2022-06-03T00:00:00"/>
    <d v="1899-12-30T22:42:00"/>
    <n v="141"/>
    <x v="1"/>
    <x v="12"/>
    <x v="2"/>
    <n v="4"/>
    <n v="500"/>
    <n v="165"/>
    <n v="2000"/>
    <x v="0"/>
    <n v="6"/>
    <x v="11"/>
    <n v="3"/>
    <x v="3"/>
    <n v="2"/>
    <n v="1835"/>
    <n v="0.91749999999999998"/>
    <n v="1"/>
    <x v="3"/>
  </r>
  <r>
    <n v="430"/>
    <d v="2023-05-23T00:00:00"/>
    <d v="1899-12-30T18:36:00"/>
    <n v="100"/>
    <x v="1"/>
    <x v="22"/>
    <x v="2"/>
    <n v="3"/>
    <n v="300"/>
    <n v="153"/>
    <n v="900"/>
    <x v="1"/>
    <n v="5"/>
    <x v="7"/>
    <n v="23"/>
    <x v="6"/>
    <n v="2"/>
    <n v="747"/>
    <n v="0.83"/>
    <n v="1"/>
    <x v="3"/>
  </r>
  <r>
    <n v="633"/>
    <d v="2023-07-06T00:00:00"/>
    <d v="1899-12-30T22:20:00"/>
    <n v="35"/>
    <x v="0"/>
    <x v="27"/>
    <x v="1"/>
    <n v="4"/>
    <n v="30"/>
    <n v="12.3"/>
    <n v="120"/>
    <x v="1"/>
    <n v="7"/>
    <x v="1"/>
    <n v="6"/>
    <x v="2"/>
    <n v="3"/>
    <n v="107.7"/>
    <n v="0.89749999999999996"/>
    <n v="0"/>
    <x v="1"/>
  </r>
  <r>
    <n v="1430"/>
    <d v="2023-10-31T00:00:00"/>
    <d v="1899-12-30T18:25:00"/>
    <n v="22"/>
    <x v="1"/>
    <x v="22"/>
    <x v="2"/>
    <n v="3"/>
    <n v="300"/>
    <n v="132"/>
    <n v="900"/>
    <x v="1"/>
    <n v="10"/>
    <x v="5"/>
    <n v="31"/>
    <x v="6"/>
    <n v="4"/>
    <n v="768"/>
    <n v="0.85333333300000003"/>
    <n v="1"/>
    <x v="0"/>
  </r>
  <r>
    <n v="1633"/>
    <d v="2022-12-31T00:00:00"/>
    <d v="1899-12-30T18:18:00"/>
    <n v="152"/>
    <x v="0"/>
    <x v="27"/>
    <x v="1"/>
    <n v="4"/>
    <n v="30"/>
    <n v="11.4"/>
    <n v="120"/>
    <x v="0"/>
    <n v="12"/>
    <x v="2"/>
    <n v="31"/>
    <x v="0"/>
    <n v="4"/>
    <n v="108.6"/>
    <n v="0.90500000000000003"/>
    <n v="0"/>
    <x v="0"/>
  </r>
  <r>
    <n v="125"/>
    <d v="2022-09-28T00:00:00"/>
    <d v="1899-12-30T18:48:00"/>
    <n v="137"/>
    <x v="0"/>
    <x v="42"/>
    <x v="0"/>
    <n v="2"/>
    <n v="50"/>
    <n v="19"/>
    <n v="100"/>
    <x v="0"/>
    <n v="9"/>
    <x v="9"/>
    <n v="28"/>
    <x v="4"/>
    <n v="3"/>
    <n v="81"/>
    <n v="0.81"/>
    <n v="0"/>
    <x v="1"/>
  </r>
  <r>
    <n v="716"/>
    <d v="2023-08-13T00:00:00"/>
    <d v="1899-12-30T19:51:00"/>
    <n v="137"/>
    <x v="1"/>
    <x v="13"/>
    <x v="0"/>
    <n v="4"/>
    <n v="300"/>
    <n v="108"/>
    <n v="1200"/>
    <x v="1"/>
    <n v="8"/>
    <x v="4"/>
    <n v="13"/>
    <x v="5"/>
    <n v="3"/>
    <n v="1092"/>
    <n v="0.91"/>
    <n v="1"/>
    <x v="1"/>
  </r>
  <r>
    <n v="790"/>
    <d v="2023-04-13T00:00:00"/>
    <d v="1899-12-30T20:47:00"/>
    <n v="29"/>
    <x v="0"/>
    <x v="44"/>
    <x v="0"/>
    <n v="1"/>
    <n v="25"/>
    <n v="9.25"/>
    <n v="25"/>
    <x v="1"/>
    <n v="4"/>
    <x v="6"/>
    <n v="13"/>
    <x v="2"/>
    <n v="2"/>
    <n v="15.75"/>
    <n v="0.63"/>
    <n v="0"/>
    <x v="3"/>
  </r>
  <r>
    <n v="960"/>
    <d v="2023-03-29T00:00:00"/>
    <d v="1899-12-30T19:01:00"/>
    <n v="134"/>
    <x v="0"/>
    <x v="26"/>
    <x v="0"/>
    <n v="2"/>
    <n v="30"/>
    <n v="14.4"/>
    <n v="60"/>
    <x v="1"/>
    <n v="3"/>
    <x v="8"/>
    <n v="29"/>
    <x v="4"/>
    <n v="1"/>
    <n v="45.6"/>
    <n v="0.76"/>
    <n v="0"/>
    <x v="2"/>
  </r>
  <r>
    <n v="1125"/>
    <d v="2023-11-12T00:00:00"/>
    <d v="1899-12-30T17:51:00"/>
    <n v="79"/>
    <x v="0"/>
    <x v="42"/>
    <x v="0"/>
    <n v="2"/>
    <n v="50"/>
    <n v="21.5"/>
    <n v="100"/>
    <x v="1"/>
    <n v="11"/>
    <x v="0"/>
    <n v="12"/>
    <x v="5"/>
    <n v="4"/>
    <n v="78.5"/>
    <n v="0.78500000000000003"/>
    <n v="0"/>
    <x v="0"/>
  </r>
  <r>
    <n v="1716"/>
    <d v="2022-02-12T00:00:00"/>
    <d v="1899-12-30T19:16:00"/>
    <n v="39"/>
    <x v="1"/>
    <x v="13"/>
    <x v="0"/>
    <n v="4"/>
    <n v="300"/>
    <n v="87"/>
    <n v="1200"/>
    <x v="0"/>
    <n v="2"/>
    <x v="10"/>
    <n v="12"/>
    <x v="0"/>
    <n v="1"/>
    <n v="1113"/>
    <n v="0.92749999999999999"/>
    <n v="1"/>
    <x v="2"/>
  </r>
  <r>
    <n v="1790"/>
    <d v="2023-05-14T00:00:00"/>
    <d v="1899-12-30T20:52:00"/>
    <n v="147"/>
    <x v="0"/>
    <x v="44"/>
    <x v="0"/>
    <n v="1"/>
    <n v="25"/>
    <n v="7.5"/>
    <n v="25"/>
    <x v="1"/>
    <n v="5"/>
    <x v="7"/>
    <n v="14"/>
    <x v="5"/>
    <n v="2"/>
    <n v="17.5"/>
    <n v="0.7"/>
    <n v="0"/>
    <x v="3"/>
  </r>
  <r>
    <n v="1960"/>
    <d v="2022-06-29T00:00:00"/>
    <d v="1899-12-30T22:04:00"/>
    <n v="67"/>
    <x v="0"/>
    <x v="26"/>
    <x v="0"/>
    <n v="2"/>
    <n v="30"/>
    <n v="13.2"/>
    <n v="60"/>
    <x v="0"/>
    <n v="6"/>
    <x v="11"/>
    <n v="29"/>
    <x v="4"/>
    <n v="2"/>
    <n v="46.8"/>
    <n v="0.78"/>
    <n v="0"/>
    <x v="3"/>
  </r>
  <r>
    <n v="259"/>
    <d v="2023-03-11T00:00:00"/>
    <d v="1899-12-30T20:26:00"/>
    <n v="93"/>
    <x v="1"/>
    <x v="14"/>
    <x v="0"/>
    <n v="4"/>
    <n v="50"/>
    <n v="22.5"/>
    <n v="200"/>
    <x v="1"/>
    <n v="3"/>
    <x v="8"/>
    <n v="11"/>
    <x v="0"/>
    <n v="1"/>
    <n v="177.5"/>
    <n v="0.88749999999999996"/>
    <n v="1"/>
    <x v="2"/>
  </r>
  <r>
    <n v="443"/>
    <d v="2023-09-19T00:00:00"/>
    <d v="1899-12-30T20:25:00"/>
    <n v="98"/>
    <x v="0"/>
    <x v="33"/>
    <x v="0"/>
    <n v="2"/>
    <n v="300"/>
    <n v="114"/>
    <n v="600"/>
    <x v="1"/>
    <n v="9"/>
    <x v="9"/>
    <n v="19"/>
    <x v="6"/>
    <n v="3"/>
    <n v="486"/>
    <n v="0.81"/>
    <n v="1"/>
    <x v="1"/>
  </r>
  <r>
    <n v="529"/>
    <d v="2022-11-29T00:00:00"/>
    <d v="1899-12-30T17:43:00"/>
    <n v="46"/>
    <x v="1"/>
    <x v="39"/>
    <x v="0"/>
    <n v="3"/>
    <n v="50"/>
    <n v="20.5"/>
    <n v="150"/>
    <x v="0"/>
    <n v="11"/>
    <x v="0"/>
    <n v="29"/>
    <x v="6"/>
    <n v="4"/>
    <n v="129.5"/>
    <n v="0.86333333300000004"/>
    <n v="1"/>
    <x v="0"/>
  </r>
  <r>
    <n v="563"/>
    <d v="2022-12-21T00:00:00"/>
    <d v="1899-12-30T18:40:00"/>
    <n v="150"/>
    <x v="0"/>
    <x v="36"/>
    <x v="0"/>
    <n v="2"/>
    <n v="30"/>
    <n v="16.2"/>
    <n v="60"/>
    <x v="0"/>
    <n v="12"/>
    <x v="2"/>
    <n v="21"/>
    <x v="4"/>
    <n v="4"/>
    <n v="43.8"/>
    <n v="0.73"/>
    <n v="0"/>
    <x v="0"/>
  </r>
  <r>
    <n v="1259"/>
    <d v="2022-11-03T00:00:00"/>
    <d v="1899-12-30T17:31:00"/>
    <n v="105"/>
    <x v="1"/>
    <x v="14"/>
    <x v="0"/>
    <n v="4"/>
    <n v="50"/>
    <n v="21"/>
    <n v="200"/>
    <x v="0"/>
    <n v="11"/>
    <x v="0"/>
    <n v="3"/>
    <x v="2"/>
    <n v="4"/>
    <n v="179"/>
    <n v="0.89500000000000002"/>
    <n v="1"/>
    <x v="0"/>
  </r>
  <r>
    <n v="1443"/>
    <d v="2022-06-18T00:00:00"/>
    <d v="1899-12-30T19:37:00"/>
    <n v="81"/>
    <x v="0"/>
    <x v="33"/>
    <x v="0"/>
    <n v="2"/>
    <n v="300"/>
    <n v="147"/>
    <n v="600"/>
    <x v="0"/>
    <n v="6"/>
    <x v="11"/>
    <n v="18"/>
    <x v="0"/>
    <n v="2"/>
    <n v="453"/>
    <n v="0.755"/>
    <n v="1"/>
    <x v="3"/>
  </r>
  <r>
    <n v="1529"/>
    <d v="2022-09-17T00:00:00"/>
    <d v="1899-12-30T22:38:00"/>
    <n v="105"/>
    <x v="1"/>
    <x v="39"/>
    <x v="0"/>
    <n v="3"/>
    <n v="50"/>
    <n v="17"/>
    <n v="150"/>
    <x v="0"/>
    <n v="9"/>
    <x v="9"/>
    <n v="17"/>
    <x v="0"/>
    <n v="3"/>
    <n v="133"/>
    <n v="0.88666666699999996"/>
    <n v="1"/>
    <x v="1"/>
  </r>
  <r>
    <n v="1563"/>
    <d v="2022-10-13T00:00:00"/>
    <d v="1899-12-30T17:44:00"/>
    <n v="22"/>
    <x v="0"/>
    <x v="36"/>
    <x v="0"/>
    <n v="2"/>
    <n v="30"/>
    <n v="15.3"/>
    <n v="60"/>
    <x v="0"/>
    <n v="10"/>
    <x v="5"/>
    <n v="13"/>
    <x v="2"/>
    <n v="4"/>
    <n v="44.7"/>
    <n v="0.745"/>
    <n v="0"/>
    <x v="0"/>
  </r>
  <r>
    <n v="801"/>
    <d v="2022-12-01T00:00:00"/>
    <d v="1899-12-30T17:14:00"/>
    <n v="153"/>
    <x v="0"/>
    <x v="40"/>
    <x v="0"/>
    <n v="4"/>
    <n v="50"/>
    <n v="19"/>
    <n v="200"/>
    <x v="0"/>
    <n v="12"/>
    <x v="2"/>
    <n v="1"/>
    <x v="2"/>
    <n v="4"/>
    <n v="181"/>
    <n v="0.90500000000000003"/>
    <n v="1"/>
    <x v="0"/>
  </r>
  <r>
    <n v="1801"/>
    <d v="2022-07-10T00:00:00"/>
    <d v="1899-12-30T22:01:00"/>
    <n v="148"/>
    <x v="0"/>
    <x v="40"/>
    <x v="0"/>
    <n v="4"/>
    <n v="50"/>
    <n v="13.5"/>
    <n v="200"/>
    <x v="0"/>
    <n v="7"/>
    <x v="1"/>
    <n v="10"/>
    <x v="5"/>
    <n v="3"/>
    <n v="186.5"/>
    <n v="0.9325"/>
    <n v="1"/>
    <x v="1"/>
  </r>
  <r>
    <n v="160"/>
    <d v="2022-07-20T00:00:00"/>
    <d v="1899-12-30T17:08:00"/>
    <n v="127"/>
    <x v="1"/>
    <x v="22"/>
    <x v="0"/>
    <n v="2"/>
    <n v="50"/>
    <n v="26.5"/>
    <n v="100"/>
    <x v="0"/>
    <n v="7"/>
    <x v="1"/>
    <n v="20"/>
    <x v="4"/>
    <n v="3"/>
    <n v="73.5"/>
    <n v="0.73499999999999999"/>
    <n v="0"/>
    <x v="1"/>
  </r>
  <r>
    <n v="508"/>
    <d v="2023-07-05T00:00:00"/>
    <d v="1899-12-30T22:52:00"/>
    <n v="32"/>
    <x v="0"/>
    <x v="43"/>
    <x v="1"/>
    <n v="2"/>
    <n v="300"/>
    <n v="123"/>
    <n v="600"/>
    <x v="1"/>
    <n v="7"/>
    <x v="1"/>
    <n v="5"/>
    <x v="4"/>
    <n v="3"/>
    <n v="477"/>
    <n v="0.79500000000000004"/>
    <n v="1"/>
    <x v="1"/>
  </r>
  <r>
    <n v="807"/>
    <d v="2023-01-26T00:00:00"/>
    <d v="1899-12-30T19:49:00"/>
    <n v="91"/>
    <x v="1"/>
    <x v="20"/>
    <x v="2"/>
    <n v="4"/>
    <n v="50"/>
    <n v="15.5"/>
    <n v="200"/>
    <x v="1"/>
    <n v="1"/>
    <x v="3"/>
    <n v="26"/>
    <x v="2"/>
    <n v="1"/>
    <n v="184.5"/>
    <n v="0.92249999999999999"/>
    <n v="1"/>
    <x v="2"/>
  </r>
  <r>
    <n v="1160"/>
    <d v="2023-08-20T00:00:00"/>
    <d v="1899-12-30T19:20:00"/>
    <n v="105"/>
    <x v="1"/>
    <x v="22"/>
    <x v="0"/>
    <n v="2"/>
    <n v="50"/>
    <n v="14"/>
    <n v="100"/>
    <x v="1"/>
    <n v="8"/>
    <x v="4"/>
    <n v="20"/>
    <x v="5"/>
    <n v="3"/>
    <n v="86"/>
    <n v="0.86"/>
    <n v="0"/>
    <x v="1"/>
  </r>
  <r>
    <n v="1508"/>
    <d v="2022-04-08T00:00:00"/>
    <d v="1899-12-30T20:32:00"/>
    <n v="90"/>
    <x v="0"/>
    <x v="43"/>
    <x v="1"/>
    <n v="2"/>
    <n v="300"/>
    <n v="81"/>
    <n v="600"/>
    <x v="0"/>
    <n v="4"/>
    <x v="6"/>
    <n v="8"/>
    <x v="3"/>
    <n v="2"/>
    <n v="519"/>
    <n v="0.86499999999999999"/>
    <n v="1"/>
    <x v="3"/>
  </r>
  <r>
    <n v="1807"/>
    <d v="2022-08-04T00:00:00"/>
    <d v="1899-12-30T22:15:00"/>
    <n v="19"/>
    <x v="1"/>
    <x v="20"/>
    <x v="2"/>
    <n v="4"/>
    <n v="50"/>
    <n v="22"/>
    <n v="200"/>
    <x v="0"/>
    <n v="8"/>
    <x v="4"/>
    <n v="4"/>
    <x v="2"/>
    <n v="3"/>
    <n v="178"/>
    <n v="0.89"/>
    <n v="1"/>
    <x v="1"/>
  </r>
  <r>
    <n v="511"/>
    <d v="2023-12-23T00:00:00"/>
    <d v="1899-12-30T18:19:00"/>
    <n v="146"/>
    <x v="0"/>
    <x v="14"/>
    <x v="1"/>
    <n v="2"/>
    <n v="50"/>
    <n v="24.5"/>
    <n v="100"/>
    <x v="1"/>
    <n v="12"/>
    <x v="2"/>
    <n v="23"/>
    <x v="0"/>
    <n v="4"/>
    <n v="75.5"/>
    <n v="0.755"/>
    <n v="0"/>
    <x v="0"/>
  </r>
  <r>
    <n v="521"/>
    <d v="2023-10-28T00:00:00"/>
    <d v="1899-12-30T19:56:00"/>
    <n v="133"/>
    <x v="1"/>
    <x v="35"/>
    <x v="0"/>
    <n v="4"/>
    <n v="30"/>
    <n v="8.6999999999999993"/>
    <n v="120"/>
    <x v="1"/>
    <n v="10"/>
    <x v="5"/>
    <n v="28"/>
    <x v="0"/>
    <n v="4"/>
    <n v="111.3"/>
    <n v="0.92749999999999999"/>
    <n v="0"/>
    <x v="0"/>
  </r>
  <r>
    <n v="695"/>
    <d v="2022-04-03T00:00:00"/>
    <d v="1899-12-30T22:12:00"/>
    <n v="52"/>
    <x v="1"/>
    <x v="30"/>
    <x v="2"/>
    <n v="3"/>
    <n v="50"/>
    <n v="21"/>
    <n v="150"/>
    <x v="0"/>
    <n v="4"/>
    <x v="6"/>
    <n v="3"/>
    <x v="5"/>
    <n v="2"/>
    <n v="129"/>
    <n v="0.86"/>
    <n v="1"/>
    <x v="3"/>
  </r>
  <r>
    <n v="816"/>
    <d v="2023-09-27T00:00:00"/>
    <d v="1899-12-30T19:29:00"/>
    <n v="133"/>
    <x v="0"/>
    <x v="35"/>
    <x v="1"/>
    <n v="2"/>
    <n v="500"/>
    <n v="240"/>
    <n v="1000"/>
    <x v="1"/>
    <n v="9"/>
    <x v="9"/>
    <n v="27"/>
    <x v="4"/>
    <n v="3"/>
    <n v="760"/>
    <n v="0.76"/>
    <n v="1"/>
    <x v="1"/>
  </r>
  <r>
    <n v="1511"/>
    <d v="2022-04-09T00:00:00"/>
    <d v="1899-12-30T21:36:00"/>
    <n v="45"/>
    <x v="0"/>
    <x v="14"/>
    <x v="1"/>
    <n v="2"/>
    <n v="50"/>
    <n v="13.5"/>
    <n v="100"/>
    <x v="0"/>
    <n v="4"/>
    <x v="6"/>
    <n v="9"/>
    <x v="0"/>
    <n v="2"/>
    <n v="86.5"/>
    <n v="0.86499999999999999"/>
    <n v="0"/>
    <x v="3"/>
  </r>
  <r>
    <n v="1521"/>
    <d v="2023-07-23T00:00:00"/>
    <d v="1899-12-30T19:08:00"/>
    <n v="30"/>
    <x v="1"/>
    <x v="35"/>
    <x v="0"/>
    <n v="4"/>
    <n v="30"/>
    <n v="12.9"/>
    <n v="120"/>
    <x v="1"/>
    <n v="7"/>
    <x v="1"/>
    <n v="23"/>
    <x v="5"/>
    <n v="3"/>
    <n v="107.1"/>
    <n v="0.89249999999999996"/>
    <n v="0"/>
    <x v="1"/>
  </r>
  <r>
    <n v="1695"/>
    <d v="2023-09-21T00:00:00"/>
    <d v="1899-12-30T20:51:00"/>
    <n v="85"/>
    <x v="1"/>
    <x v="30"/>
    <x v="2"/>
    <n v="3"/>
    <n v="50"/>
    <n v="23"/>
    <n v="150"/>
    <x v="1"/>
    <n v="9"/>
    <x v="9"/>
    <n v="21"/>
    <x v="2"/>
    <n v="3"/>
    <n v="127"/>
    <n v="0.84666666700000004"/>
    <n v="1"/>
    <x v="1"/>
  </r>
  <r>
    <n v="1816"/>
    <d v="2022-06-17T00:00:00"/>
    <d v="1899-12-30T22:30:00"/>
    <n v="52"/>
    <x v="0"/>
    <x v="35"/>
    <x v="1"/>
    <n v="2"/>
    <n v="500"/>
    <n v="245"/>
    <n v="1000"/>
    <x v="0"/>
    <n v="6"/>
    <x v="11"/>
    <n v="17"/>
    <x v="3"/>
    <n v="2"/>
    <n v="755"/>
    <n v="0.755"/>
    <n v="1"/>
    <x v="3"/>
  </r>
  <r>
    <n v="217"/>
    <d v="2022-05-02T00:00:00"/>
    <d v="1899-12-30T17:01:00"/>
    <n v="17"/>
    <x v="1"/>
    <x v="39"/>
    <x v="2"/>
    <n v="4"/>
    <n v="50"/>
    <n v="26.5"/>
    <n v="200"/>
    <x v="0"/>
    <n v="5"/>
    <x v="7"/>
    <n v="2"/>
    <x v="1"/>
    <n v="2"/>
    <n v="173.5"/>
    <n v="0.86750000000000005"/>
    <n v="1"/>
    <x v="3"/>
  </r>
  <r>
    <n v="384"/>
    <d v="2022-04-10T00:00:00"/>
    <d v="1899-12-30T19:53:00"/>
    <n v="127"/>
    <x v="0"/>
    <x v="46"/>
    <x v="0"/>
    <n v="1"/>
    <n v="500"/>
    <n v="145"/>
    <n v="500"/>
    <x v="0"/>
    <n v="4"/>
    <x v="6"/>
    <n v="10"/>
    <x v="5"/>
    <n v="2"/>
    <n v="355"/>
    <n v="0.71"/>
    <n v="1"/>
    <x v="3"/>
  </r>
  <r>
    <n v="1217"/>
    <d v="2023-10-16T00:00:00"/>
    <d v="1899-12-30T19:28:00"/>
    <n v="70"/>
    <x v="1"/>
    <x v="39"/>
    <x v="2"/>
    <n v="4"/>
    <n v="50"/>
    <n v="18"/>
    <n v="200"/>
    <x v="1"/>
    <n v="10"/>
    <x v="5"/>
    <n v="16"/>
    <x v="1"/>
    <n v="4"/>
    <n v="182"/>
    <n v="0.91"/>
    <n v="1"/>
    <x v="0"/>
  </r>
  <r>
    <n v="1384"/>
    <d v="2023-12-17T00:00:00"/>
    <d v="1899-12-30T20:23:00"/>
    <n v="106"/>
    <x v="0"/>
    <x v="46"/>
    <x v="0"/>
    <n v="1"/>
    <n v="500"/>
    <n v="260"/>
    <n v="500"/>
    <x v="1"/>
    <n v="12"/>
    <x v="2"/>
    <n v="17"/>
    <x v="5"/>
    <n v="4"/>
    <n v="240"/>
    <n v="0.48"/>
    <n v="1"/>
    <x v="0"/>
  </r>
  <r>
    <n v="648"/>
    <d v="2023-02-23T00:00:00"/>
    <d v="1899-12-30T18:13:00"/>
    <n v="41"/>
    <x v="0"/>
    <x v="21"/>
    <x v="1"/>
    <n v="4"/>
    <n v="300"/>
    <n v="138"/>
    <n v="1200"/>
    <x v="1"/>
    <n v="2"/>
    <x v="10"/>
    <n v="23"/>
    <x v="2"/>
    <n v="1"/>
    <n v="1062"/>
    <n v="0.88500000000000001"/>
    <n v="1"/>
    <x v="2"/>
  </r>
  <r>
    <n v="926"/>
    <d v="2023-10-06T00:00:00"/>
    <d v="1899-12-30T22:53:00"/>
    <n v="53"/>
    <x v="0"/>
    <x v="30"/>
    <x v="2"/>
    <n v="1"/>
    <n v="30"/>
    <n v="15.6"/>
    <n v="30"/>
    <x v="1"/>
    <n v="10"/>
    <x v="5"/>
    <n v="6"/>
    <x v="3"/>
    <n v="4"/>
    <n v="14.4"/>
    <n v="0.48"/>
    <n v="0"/>
    <x v="0"/>
  </r>
  <r>
    <n v="1648"/>
    <d v="2023-07-10T00:00:00"/>
    <d v="1899-12-30T17:18:00"/>
    <n v="16"/>
    <x v="0"/>
    <x v="21"/>
    <x v="1"/>
    <n v="4"/>
    <n v="300"/>
    <n v="87"/>
    <n v="1200"/>
    <x v="1"/>
    <n v="7"/>
    <x v="1"/>
    <n v="10"/>
    <x v="1"/>
    <n v="3"/>
    <n v="1113"/>
    <n v="0.92749999999999999"/>
    <n v="1"/>
    <x v="1"/>
  </r>
  <r>
    <n v="1926"/>
    <d v="2023-08-07T00:00:00"/>
    <d v="1899-12-30T20:22:00"/>
    <n v="74"/>
    <x v="0"/>
    <x v="30"/>
    <x v="2"/>
    <n v="1"/>
    <n v="30"/>
    <n v="9.6"/>
    <n v="30"/>
    <x v="1"/>
    <n v="8"/>
    <x v="4"/>
    <n v="7"/>
    <x v="1"/>
    <n v="3"/>
    <n v="20.399999999999999"/>
    <n v="0.68"/>
    <n v="0"/>
    <x v="1"/>
  </r>
  <r>
    <n v="285"/>
    <d v="2023-12-01T00:00:00"/>
    <d v="1899-12-30T18:14:00"/>
    <n v="107"/>
    <x v="1"/>
    <x v="16"/>
    <x v="2"/>
    <n v="1"/>
    <n v="25"/>
    <n v="13.5"/>
    <n v="25"/>
    <x v="1"/>
    <n v="12"/>
    <x v="2"/>
    <n v="1"/>
    <x v="3"/>
    <n v="4"/>
    <n v="11.5"/>
    <n v="0.46"/>
    <n v="0"/>
    <x v="0"/>
  </r>
  <r>
    <n v="427"/>
    <d v="2023-11-16T00:00:00"/>
    <d v="1899-12-30T21:26:00"/>
    <n v="120"/>
    <x v="0"/>
    <x v="38"/>
    <x v="2"/>
    <n v="1"/>
    <n v="25"/>
    <n v="11.75"/>
    <n v="25"/>
    <x v="1"/>
    <n v="11"/>
    <x v="0"/>
    <n v="16"/>
    <x v="2"/>
    <n v="4"/>
    <n v="13.25"/>
    <n v="0.53"/>
    <n v="0"/>
    <x v="0"/>
  </r>
  <r>
    <n v="569"/>
    <d v="2022-04-29T00:00:00"/>
    <d v="1899-12-30T20:49:00"/>
    <n v="132"/>
    <x v="0"/>
    <x v="41"/>
    <x v="2"/>
    <n v="4"/>
    <n v="50"/>
    <n v="19"/>
    <n v="200"/>
    <x v="0"/>
    <n v="4"/>
    <x v="6"/>
    <n v="29"/>
    <x v="3"/>
    <n v="2"/>
    <n v="181"/>
    <n v="0.90500000000000003"/>
    <n v="1"/>
    <x v="3"/>
  </r>
  <r>
    <n v="570"/>
    <d v="2022-06-09T00:00:00"/>
    <d v="1899-12-30T22:53:00"/>
    <n v="91"/>
    <x v="0"/>
    <x v="28"/>
    <x v="0"/>
    <n v="1"/>
    <n v="500"/>
    <n v="185"/>
    <n v="500"/>
    <x v="0"/>
    <n v="6"/>
    <x v="11"/>
    <n v="9"/>
    <x v="2"/>
    <n v="2"/>
    <n v="315"/>
    <n v="0.63"/>
    <n v="1"/>
    <x v="3"/>
  </r>
  <r>
    <n v="630"/>
    <d v="2023-03-21T00:00:00"/>
    <d v="1899-12-30T17:29:00"/>
    <n v="94"/>
    <x v="0"/>
    <x v="25"/>
    <x v="0"/>
    <n v="2"/>
    <n v="50"/>
    <n v="25.5"/>
    <n v="100"/>
    <x v="1"/>
    <n v="3"/>
    <x v="8"/>
    <n v="21"/>
    <x v="6"/>
    <n v="1"/>
    <n v="74.5"/>
    <n v="0.745"/>
    <n v="0"/>
    <x v="2"/>
  </r>
  <r>
    <n v="957"/>
    <d v="2023-06-19T00:00:00"/>
    <d v="1899-12-30T19:00:00"/>
    <n v="105"/>
    <x v="1"/>
    <x v="13"/>
    <x v="2"/>
    <n v="4"/>
    <n v="30"/>
    <n v="9.3000000000000007"/>
    <n v="120"/>
    <x v="1"/>
    <n v="6"/>
    <x v="11"/>
    <n v="19"/>
    <x v="1"/>
    <n v="2"/>
    <n v="110.7"/>
    <n v="0.92249999999999999"/>
    <n v="0"/>
    <x v="3"/>
  </r>
  <r>
    <n v="1285"/>
    <d v="2023-06-01T00:00:00"/>
    <d v="1899-12-30T21:55:00"/>
    <n v="130"/>
    <x v="1"/>
    <x v="16"/>
    <x v="2"/>
    <n v="1"/>
    <n v="25"/>
    <n v="12.25"/>
    <n v="25"/>
    <x v="1"/>
    <n v="6"/>
    <x v="11"/>
    <n v="1"/>
    <x v="2"/>
    <n v="2"/>
    <n v="12.75"/>
    <n v="0.51"/>
    <n v="0"/>
    <x v="3"/>
  </r>
  <r>
    <n v="1427"/>
    <d v="2023-07-15T00:00:00"/>
    <d v="1899-12-30T18:36:00"/>
    <n v="92"/>
    <x v="0"/>
    <x v="38"/>
    <x v="2"/>
    <n v="1"/>
    <n v="25"/>
    <n v="11.5"/>
    <n v="25"/>
    <x v="1"/>
    <n v="7"/>
    <x v="1"/>
    <n v="15"/>
    <x v="0"/>
    <n v="3"/>
    <n v="13.5"/>
    <n v="0.54"/>
    <n v="0"/>
    <x v="1"/>
  </r>
  <r>
    <n v="1569"/>
    <d v="2023-11-30T00:00:00"/>
    <d v="1899-12-30T21:07:00"/>
    <n v="35"/>
    <x v="0"/>
    <x v="41"/>
    <x v="2"/>
    <n v="4"/>
    <n v="50"/>
    <n v="18"/>
    <n v="200"/>
    <x v="1"/>
    <n v="11"/>
    <x v="0"/>
    <n v="30"/>
    <x v="2"/>
    <n v="4"/>
    <n v="182"/>
    <n v="0.91"/>
    <n v="1"/>
    <x v="0"/>
  </r>
  <r>
    <n v="1570"/>
    <d v="2023-06-15T00:00:00"/>
    <d v="1899-12-30T22:32:00"/>
    <n v="109"/>
    <x v="0"/>
    <x v="28"/>
    <x v="0"/>
    <n v="1"/>
    <n v="500"/>
    <n v="170"/>
    <n v="500"/>
    <x v="1"/>
    <n v="6"/>
    <x v="11"/>
    <n v="15"/>
    <x v="2"/>
    <n v="2"/>
    <n v="330"/>
    <n v="0.66"/>
    <n v="1"/>
    <x v="3"/>
  </r>
  <r>
    <n v="1630"/>
    <d v="2022-05-22T00:00:00"/>
    <d v="1899-12-30T17:22:00"/>
    <n v="95"/>
    <x v="0"/>
    <x v="25"/>
    <x v="0"/>
    <n v="2"/>
    <n v="50"/>
    <n v="16"/>
    <n v="100"/>
    <x v="0"/>
    <n v="5"/>
    <x v="7"/>
    <n v="22"/>
    <x v="5"/>
    <n v="2"/>
    <n v="84"/>
    <n v="0.84"/>
    <n v="0"/>
    <x v="3"/>
  </r>
  <r>
    <n v="1957"/>
    <d v="2022-10-25T00:00:00"/>
    <d v="1899-12-30T19:00:00"/>
    <n v="75"/>
    <x v="1"/>
    <x v="13"/>
    <x v="2"/>
    <n v="4"/>
    <n v="30"/>
    <n v="14.7"/>
    <n v="120"/>
    <x v="0"/>
    <n v="10"/>
    <x v="5"/>
    <n v="25"/>
    <x v="6"/>
    <n v="4"/>
    <n v="105.3"/>
    <n v="0.87749999999999995"/>
    <n v="0"/>
    <x v="0"/>
  </r>
  <r>
    <n v="635"/>
    <d v="2022-12-04T00:00:00"/>
    <d v="1899-12-30T21:03:00"/>
    <n v="89"/>
    <x v="1"/>
    <x v="15"/>
    <x v="2"/>
    <n v="3"/>
    <n v="300"/>
    <n v="129"/>
    <n v="900"/>
    <x v="0"/>
    <n v="12"/>
    <x v="2"/>
    <n v="4"/>
    <x v="5"/>
    <n v="4"/>
    <n v="771"/>
    <n v="0.85666666700000005"/>
    <n v="1"/>
    <x v="0"/>
  </r>
  <r>
    <n v="1635"/>
    <d v="2023-04-17T00:00:00"/>
    <d v="1899-12-30T18:08:00"/>
    <n v="36"/>
    <x v="1"/>
    <x v="15"/>
    <x v="2"/>
    <n v="3"/>
    <n v="300"/>
    <n v="159"/>
    <n v="900"/>
    <x v="1"/>
    <n v="4"/>
    <x v="6"/>
    <n v="17"/>
    <x v="1"/>
    <n v="2"/>
    <n v="741"/>
    <n v="0.823333333"/>
    <n v="1"/>
    <x v="3"/>
  </r>
  <r>
    <n v="29"/>
    <d v="2022-03-08T00:00:00"/>
    <d v="1899-12-30T20:10:00"/>
    <n v="31"/>
    <x v="1"/>
    <x v="25"/>
    <x v="2"/>
    <n v="1"/>
    <n v="30"/>
    <n v="13.5"/>
    <n v="30"/>
    <x v="0"/>
    <n v="3"/>
    <x v="8"/>
    <n v="8"/>
    <x v="6"/>
    <n v="1"/>
    <n v="16.5"/>
    <n v="0.55000000000000004"/>
    <n v="0"/>
    <x v="2"/>
  </r>
  <r>
    <n v="277"/>
    <d v="2023-07-03T00:00:00"/>
    <d v="1899-12-30T22:10:00"/>
    <n v="139"/>
    <x v="0"/>
    <x v="31"/>
    <x v="0"/>
    <n v="4"/>
    <n v="25"/>
    <n v="12.25"/>
    <n v="100"/>
    <x v="1"/>
    <n v="7"/>
    <x v="1"/>
    <n v="3"/>
    <x v="1"/>
    <n v="3"/>
    <n v="87.75"/>
    <n v="0.87749999999999995"/>
    <n v="0"/>
    <x v="1"/>
  </r>
  <r>
    <n v="859"/>
    <d v="2022-09-20T00:00:00"/>
    <d v="1899-12-30T21:52:00"/>
    <n v="46"/>
    <x v="1"/>
    <x v="34"/>
    <x v="2"/>
    <n v="3"/>
    <n v="500"/>
    <n v="190"/>
    <n v="1500"/>
    <x v="0"/>
    <n v="9"/>
    <x v="9"/>
    <n v="20"/>
    <x v="6"/>
    <n v="3"/>
    <n v="1310"/>
    <n v="0.87333333300000004"/>
    <n v="1"/>
    <x v="1"/>
  </r>
  <r>
    <n v="1029"/>
    <d v="2023-07-18T00:00:00"/>
    <d v="1899-12-30T19:23:00"/>
    <n v="117"/>
    <x v="1"/>
    <x v="25"/>
    <x v="2"/>
    <n v="1"/>
    <n v="30"/>
    <n v="12.3"/>
    <n v="30"/>
    <x v="1"/>
    <n v="7"/>
    <x v="1"/>
    <n v="18"/>
    <x v="6"/>
    <n v="3"/>
    <n v="17.7"/>
    <n v="0.59"/>
    <n v="0"/>
    <x v="1"/>
  </r>
  <r>
    <n v="1277"/>
    <d v="2023-10-17T00:00:00"/>
    <d v="1899-12-30T21:20:00"/>
    <n v="80"/>
    <x v="0"/>
    <x v="31"/>
    <x v="0"/>
    <n v="4"/>
    <n v="25"/>
    <n v="12.75"/>
    <n v="100"/>
    <x v="1"/>
    <n v="10"/>
    <x v="5"/>
    <n v="17"/>
    <x v="6"/>
    <n v="4"/>
    <n v="87.25"/>
    <n v="0.87250000000000005"/>
    <n v="0"/>
    <x v="0"/>
  </r>
  <r>
    <n v="1859"/>
    <d v="2022-09-14T00:00:00"/>
    <d v="1899-12-30T20:58:00"/>
    <n v="32"/>
    <x v="1"/>
    <x v="34"/>
    <x v="2"/>
    <n v="3"/>
    <n v="500"/>
    <n v="205"/>
    <n v="1500"/>
    <x v="0"/>
    <n v="9"/>
    <x v="9"/>
    <n v="14"/>
    <x v="4"/>
    <n v="3"/>
    <n v="1295"/>
    <n v="0.86333333300000004"/>
    <n v="1"/>
    <x v="1"/>
  </r>
  <r>
    <n v="638"/>
    <d v="2023-01-10T00:00:00"/>
    <d v="1899-12-30T19:52:00"/>
    <n v="154"/>
    <x v="0"/>
    <x v="1"/>
    <x v="2"/>
    <n v="1"/>
    <n v="500"/>
    <n v="190"/>
    <n v="500"/>
    <x v="1"/>
    <n v="1"/>
    <x v="3"/>
    <n v="10"/>
    <x v="6"/>
    <n v="1"/>
    <n v="310"/>
    <n v="0.62"/>
    <n v="1"/>
    <x v="2"/>
  </r>
  <r>
    <n v="823"/>
    <d v="2023-12-03T00:00:00"/>
    <d v="1899-12-30T17:42:00"/>
    <n v="66"/>
    <x v="1"/>
    <x v="34"/>
    <x v="2"/>
    <n v="2"/>
    <n v="50"/>
    <n v="25"/>
    <n v="100"/>
    <x v="1"/>
    <n v="12"/>
    <x v="2"/>
    <n v="3"/>
    <x v="5"/>
    <n v="4"/>
    <n v="75"/>
    <n v="0.75"/>
    <n v="0"/>
    <x v="0"/>
  </r>
  <r>
    <n v="956"/>
    <d v="2023-04-24T00:00:00"/>
    <d v="1899-12-30T21:50:00"/>
    <n v="140"/>
    <x v="0"/>
    <x v="7"/>
    <x v="0"/>
    <n v="3"/>
    <n v="500"/>
    <n v="135"/>
    <n v="1500"/>
    <x v="1"/>
    <n v="4"/>
    <x v="6"/>
    <n v="24"/>
    <x v="1"/>
    <n v="2"/>
    <n v="1365"/>
    <n v="0.91"/>
    <n v="1"/>
    <x v="3"/>
  </r>
  <r>
    <n v="981"/>
    <d v="2022-02-05T00:00:00"/>
    <d v="1899-12-30T21:08:00"/>
    <n v="5"/>
    <x v="1"/>
    <x v="7"/>
    <x v="2"/>
    <n v="2"/>
    <n v="30"/>
    <n v="12.9"/>
    <n v="60"/>
    <x v="0"/>
    <n v="2"/>
    <x v="10"/>
    <n v="5"/>
    <x v="0"/>
    <n v="1"/>
    <n v="47.1"/>
    <n v="0.78500000000000003"/>
    <n v="0"/>
    <x v="2"/>
  </r>
  <r>
    <n v="1638"/>
    <d v="2022-08-13T00:00:00"/>
    <d v="1899-12-30T18:26:00"/>
    <n v="37"/>
    <x v="0"/>
    <x v="1"/>
    <x v="2"/>
    <n v="1"/>
    <n v="500"/>
    <n v="155"/>
    <n v="500"/>
    <x v="0"/>
    <n v="8"/>
    <x v="4"/>
    <n v="13"/>
    <x v="0"/>
    <n v="3"/>
    <n v="345"/>
    <n v="0.69"/>
    <n v="1"/>
    <x v="1"/>
  </r>
  <r>
    <n v="1823"/>
    <d v="2022-11-08T00:00:00"/>
    <d v="1899-12-30T22:28:00"/>
    <n v="58"/>
    <x v="1"/>
    <x v="34"/>
    <x v="2"/>
    <n v="2"/>
    <n v="50"/>
    <n v="26.5"/>
    <n v="100"/>
    <x v="0"/>
    <n v="11"/>
    <x v="0"/>
    <n v="8"/>
    <x v="6"/>
    <n v="4"/>
    <n v="73.5"/>
    <n v="0.73499999999999999"/>
    <n v="0"/>
    <x v="0"/>
  </r>
  <r>
    <n v="1956"/>
    <d v="2023-06-01T00:00:00"/>
    <d v="1899-12-30T20:40:00"/>
    <n v="62"/>
    <x v="0"/>
    <x v="7"/>
    <x v="0"/>
    <n v="3"/>
    <n v="500"/>
    <n v="170"/>
    <n v="1500"/>
    <x v="1"/>
    <n v="6"/>
    <x v="11"/>
    <n v="1"/>
    <x v="2"/>
    <n v="2"/>
    <n v="1330"/>
    <n v="0.88666666699999996"/>
    <n v="1"/>
    <x v="3"/>
  </r>
  <r>
    <n v="1981"/>
    <d v="2022-06-05T00:00:00"/>
    <d v="1899-12-30T22:50:00"/>
    <n v="19"/>
    <x v="1"/>
    <x v="7"/>
    <x v="2"/>
    <n v="2"/>
    <n v="30"/>
    <n v="11.7"/>
    <n v="60"/>
    <x v="0"/>
    <n v="6"/>
    <x v="11"/>
    <n v="5"/>
    <x v="5"/>
    <n v="2"/>
    <n v="48.3"/>
    <n v="0.80500000000000005"/>
    <n v="0"/>
    <x v="3"/>
  </r>
  <r>
    <n v="219"/>
    <d v="2023-09-16T00:00:00"/>
    <d v="1899-12-30T22:34:00"/>
    <n v="79"/>
    <x v="1"/>
    <x v="21"/>
    <x v="2"/>
    <n v="3"/>
    <n v="30"/>
    <n v="10.199999999999999"/>
    <n v="90"/>
    <x v="1"/>
    <n v="9"/>
    <x v="9"/>
    <n v="16"/>
    <x v="0"/>
    <n v="3"/>
    <n v="79.8"/>
    <n v="0.88666666699999996"/>
    <n v="0"/>
    <x v="1"/>
  </r>
  <r>
    <n v="1219"/>
    <d v="2022-11-02T00:00:00"/>
    <d v="1899-12-30T21:47:00"/>
    <n v="149"/>
    <x v="1"/>
    <x v="21"/>
    <x v="2"/>
    <n v="3"/>
    <n v="30"/>
    <n v="11.1"/>
    <n v="90"/>
    <x v="0"/>
    <n v="11"/>
    <x v="0"/>
    <n v="2"/>
    <x v="4"/>
    <n v="4"/>
    <n v="78.900000000000006"/>
    <n v="0.87666666699999996"/>
    <n v="0"/>
    <x v="0"/>
  </r>
  <r>
    <n v="73"/>
    <d v="2022-01-14T00:00:00"/>
    <d v="1899-12-30T21:47:00"/>
    <n v="42"/>
    <x v="0"/>
    <x v="33"/>
    <x v="2"/>
    <n v="3"/>
    <n v="30"/>
    <n v="9"/>
    <n v="90"/>
    <x v="0"/>
    <n v="1"/>
    <x v="3"/>
    <n v="14"/>
    <x v="3"/>
    <n v="1"/>
    <n v="81"/>
    <n v="0.9"/>
    <n v="0"/>
    <x v="2"/>
  </r>
  <r>
    <n v="162"/>
    <d v="2023-04-11T00:00:00"/>
    <d v="1899-12-30T19:37:00"/>
    <n v="118"/>
    <x v="0"/>
    <x v="27"/>
    <x v="0"/>
    <n v="2"/>
    <n v="30"/>
    <n v="9"/>
    <n v="60"/>
    <x v="1"/>
    <n v="4"/>
    <x v="6"/>
    <n v="11"/>
    <x v="6"/>
    <n v="2"/>
    <n v="51"/>
    <n v="0.85"/>
    <n v="0"/>
    <x v="3"/>
  </r>
  <r>
    <n v="306"/>
    <d v="2022-01-04T00:00:00"/>
    <d v="1899-12-30T22:05:00"/>
    <n v="148"/>
    <x v="0"/>
    <x v="29"/>
    <x v="2"/>
    <n v="1"/>
    <n v="50"/>
    <n v="26.5"/>
    <n v="50"/>
    <x v="0"/>
    <n v="1"/>
    <x v="3"/>
    <n v="4"/>
    <x v="6"/>
    <n v="1"/>
    <n v="23.5"/>
    <n v="0.47"/>
    <n v="0"/>
    <x v="2"/>
  </r>
  <r>
    <n v="725"/>
    <d v="2023-09-21T00:00:00"/>
    <d v="1899-12-30T20:32:00"/>
    <n v="2"/>
    <x v="0"/>
    <x v="45"/>
    <x v="2"/>
    <n v="1"/>
    <n v="300"/>
    <n v="153"/>
    <n v="300"/>
    <x v="1"/>
    <n v="9"/>
    <x v="9"/>
    <n v="21"/>
    <x v="2"/>
    <n v="3"/>
    <n v="147"/>
    <n v="0.49"/>
    <n v="1"/>
    <x v="1"/>
  </r>
  <r>
    <n v="880"/>
    <d v="2023-09-26T00:00:00"/>
    <d v="1899-12-30T20:13:00"/>
    <n v="63"/>
    <x v="0"/>
    <x v="30"/>
    <x v="1"/>
    <n v="2"/>
    <n v="500"/>
    <n v="175"/>
    <n v="1000"/>
    <x v="1"/>
    <n v="9"/>
    <x v="9"/>
    <n v="26"/>
    <x v="6"/>
    <n v="3"/>
    <n v="825"/>
    <n v="0.82499999999999996"/>
    <n v="1"/>
    <x v="1"/>
  </r>
  <r>
    <n v="992"/>
    <d v="2023-10-15T00:00:00"/>
    <d v="1899-12-30T19:34:00"/>
    <n v="134"/>
    <x v="1"/>
    <x v="10"/>
    <x v="2"/>
    <n v="2"/>
    <n v="30"/>
    <n v="7.8"/>
    <n v="60"/>
    <x v="1"/>
    <n v="10"/>
    <x v="5"/>
    <n v="15"/>
    <x v="5"/>
    <n v="4"/>
    <n v="52.2"/>
    <n v="0.87"/>
    <n v="0"/>
    <x v="0"/>
  </r>
  <r>
    <n v="1073"/>
    <d v="2022-02-21T00:00:00"/>
    <d v="1899-12-30T18:16:00"/>
    <n v="82"/>
    <x v="0"/>
    <x v="33"/>
    <x v="2"/>
    <n v="3"/>
    <n v="30"/>
    <n v="15.3"/>
    <n v="90"/>
    <x v="0"/>
    <n v="2"/>
    <x v="10"/>
    <n v="21"/>
    <x v="1"/>
    <n v="1"/>
    <n v="74.7"/>
    <n v="0.83"/>
    <n v="0"/>
    <x v="2"/>
  </r>
  <r>
    <n v="1162"/>
    <d v="2022-07-13T00:00:00"/>
    <d v="1899-12-30T17:08:00"/>
    <n v="101"/>
    <x v="0"/>
    <x v="27"/>
    <x v="0"/>
    <n v="2"/>
    <n v="30"/>
    <n v="12.6"/>
    <n v="60"/>
    <x v="0"/>
    <n v="7"/>
    <x v="1"/>
    <n v="13"/>
    <x v="4"/>
    <n v="3"/>
    <n v="47.4"/>
    <n v="0.79"/>
    <n v="0"/>
    <x v="1"/>
  </r>
  <r>
    <n v="1306"/>
    <d v="2023-11-11T00:00:00"/>
    <d v="1899-12-30T20:57:00"/>
    <n v="122"/>
    <x v="0"/>
    <x v="29"/>
    <x v="2"/>
    <n v="1"/>
    <n v="50"/>
    <n v="18.5"/>
    <n v="50"/>
    <x v="1"/>
    <n v="11"/>
    <x v="0"/>
    <n v="11"/>
    <x v="0"/>
    <n v="4"/>
    <n v="31.5"/>
    <n v="0.63"/>
    <n v="0"/>
    <x v="0"/>
  </r>
  <r>
    <n v="1725"/>
    <d v="2022-05-16T00:00:00"/>
    <d v="1899-12-30T21:02:00"/>
    <n v="109"/>
    <x v="0"/>
    <x v="45"/>
    <x v="2"/>
    <n v="1"/>
    <n v="300"/>
    <n v="105"/>
    <n v="300"/>
    <x v="0"/>
    <n v="5"/>
    <x v="7"/>
    <n v="16"/>
    <x v="1"/>
    <n v="2"/>
    <n v="195"/>
    <n v="0.65"/>
    <n v="1"/>
    <x v="3"/>
  </r>
  <r>
    <n v="1880"/>
    <d v="2023-06-14T00:00:00"/>
    <d v="1899-12-30T20:03:00"/>
    <n v="37"/>
    <x v="0"/>
    <x v="30"/>
    <x v="1"/>
    <n v="2"/>
    <n v="500"/>
    <n v="175"/>
    <n v="1000"/>
    <x v="1"/>
    <n v="6"/>
    <x v="11"/>
    <n v="14"/>
    <x v="4"/>
    <n v="2"/>
    <n v="825"/>
    <n v="0.82499999999999996"/>
    <n v="1"/>
    <x v="3"/>
  </r>
  <r>
    <n v="1992"/>
    <d v="2023-05-19T00:00:00"/>
    <d v="1899-12-30T21:35:00"/>
    <n v="70"/>
    <x v="1"/>
    <x v="10"/>
    <x v="2"/>
    <n v="2"/>
    <n v="30"/>
    <n v="8.6999999999999993"/>
    <n v="60"/>
    <x v="1"/>
    <n v="5"/>
    <x v="7"/>
    <n v="19"/>
    <x v="3"/>
    <n v="2"/>
    <n v="51.3"/>
    <n v="0.85499999999999998"/>
    <n v="0"/>
    <x v="3"/>
  </r>
  <r>
    <n v="597"/>
    <d v="2022-11-01T00:00:00"/>
    <d v="1899-12-30T19:29:00"/>
    <n v="84"/>
    <x v="0"/>
    <x v="30"/>
    <x v="1"/>
    <n v="4"/>
    <n v="300"/>
    <n v="111"/>
    <n v="1200"/>
    <x v="0"/>
    <n v="11"/>
    <x v="0"/>
    <n v="1"/>
    <x v="6"/>
    <n v="4"/>
    <n v="1089"/>
    <n v="0.90749999999999997"/>
    <n v="1"/>
    <x v="0"/>
  </r>
  <r>
    <n v="622"/>
    <d v="2022-10-16T00:00:00"/>
    <d v="1899-12-30T22:00:00"/>
    <n v="155"/>
    <x v="1"/>
    <x v="28"/>
    <x v="1"/>
    <n v="3"/>
    <n v="25"/>
    <n v="6.25"/>
    <n v="75"/>
    <x v="0"/>
    <n v="10"/>
    <x v="5"/>
    <n v="16"/>
    <x v="5"/>
    <n v="4"/>
    <n v="68.75"/>
    <n v="0.91666666699999999"/>
    <n v="0"/>
    <x v="0"/>
  </r>
  <r>
    <n v="1597"/>
    <d v="2023-08-28T00:00:00"/>
    <d v="1899-12-30T18:21:00"/>
    <n v="32"/>
    <x v="0"/>
    <x v="30"/>
    <x v="1"/>
    <n v="4"/>
    <n v="300"/>
    <n v="78"/>
    <n v="1200"/>
    <x v="1"/>
    <n v="8"/>
    <x v="4"/>
    <n v="28"/>
    <x v="1"/>
    <n v="3"/>
    <n v="1122"/>
    <n v="0.93500000000000005"/>
    <n v="1"/>
    <x v="1"/>
  </r>
  <r>
    <n v="1622"/>
    <d v="2023-04-22T00:00:00"/>
    <d v="1899-12-30T21:28:00"/>
    <n v="54"/>
    <x v="1"/>
    <x v="28"/>
    <x v="1"/>
    <n v="3"/>
    <n v="25"/>
    <n v="11.75"/>
    <n v="75"/>
    <x v="1"/>
    <n v="4"/>
    <x v="6"/>
    <n v="22"/>
    <x v="0"/>
    <n v="2"/>
    <n v="63.25"/>
    <n v="0.84333333300000002"/>
    <n v="0"/>
    <x v="3"/>
  </r>
  <r>
    <n v="116"/>
    <d v="2023-06-22T00:00:00"/>
    <d v="1899-12-30T20:04:00"/>
    <n v="58"/>
    <x v="1"/>
    <x v="8"/>
    <x v="0"/>
    <n v="1"/>
    <n v="30"/>
    <n v="15"/>
    <n v="30"/>
    <x v="1"/>
    <n v="6"/>
    <x v="11"/>
    <n v="22"/>
    <x v="2"/>
    <n v="2"/>
    <n v="15"/>
    <n v="0.5"/>
    <n v="0"/>
    <x v="3"/>
  </r>
  <r>
    <n v="364"/>
    <d v="2022-06-07T00:00:00"/>
    <d v="1899-12-30T19:06:00"/>
    <n v="98"/>
    <x v="1"/>
    <x v="4"/>
    <x v="1"/>
    <n v="1"/>
    <n v="500"/>
    <n v="200"/>
    <n v="500"/>
    <x v="0"/>
    <n v="6"/>
    <x v="11"/>
    <n v="7"/>
    <x v="6"/>
    <n v="2"/>
    <n v="300"/>
    <n v="0.6"/>
    <n v="1"/>
    <x v="3"/>
  </r>
  <r>
    <n v="368"/>
    <d v="2023-01-31T00:00:00"/>
    <d v="1899-12-30T21:11:00"/>
    <n v="90"/>
    <x v="1"/>
    <x v="34"/>
    <x v="0"/>
    <n v="4"/>
    <n v="300"/>
    <n v="132"/>
    <n v="1200"/>
    <x v="1"/>
    <n v="1"/>
    <x v="3"/>
    <n v="31"/>
    <x v="6"/>
    <n v="1"/>
    <n v="1068"/>
    <n v="0.89"/>
    <n v="1"/>
    <x v="2"/>
  </r>
  <r>
    <n v="1116"/>
    <d v="2022-08-15T00:00:00"/>
    <d v="1899-12-30T22:26:00"/>
    <n v="145"/>
    <x v="1"/>
    <x v="8"/>
    <x v="0"/>
    <n v="1"/>
    <n v="30"/>
    <n v="12.3"/>
    <n v="30"/>
    <x v="0"/>
    <n v="8"/>
    <x v="4"/>
    <n v="15"/>
    <x v="1"/>
    <n v="3"/>
    <n v="17.7"/>
    <n v="0.59"/>
    <n v="0"/>
    <x v="1"/>
  </r>
  <r>
    <n v="1364"/>
    <d v="2023-09-23T00:00:00"/>
    <d v="1899-12-30T17:04:00"/>
    <n v="72"/>
    <x v="1"/>
    <x v="4"/>
    <x v="1"/>
    <n v="1"/>
    <n v="500"/>
    <n v="250"/>
    <n v="500"/>
    <x v="1"/>
    <n v="9"/>
    <x v="9"/>
    <n v="23"/>
    <x v="0"/>
    <n v="3"/>
    <n v="250"/>
    <n v="0.5"/>
    <n v="1"/>
    <x v="1"/>
  </r>
  <r>
    <n v="1368"/>
    <d v="2022-03-08T00:00:00"/>
    <d v="1899-12-30T21:29:00"/>
    <n v="145"/>
    <x v="1"/>
    <x v="34"/>
    <x v="0"/>
    <n v="4"/>
    <n v="300"/>
    <n v="132"/>
    <n v="1200"/>
    <x v="0"/>
    <n v="3"/>
    <x v="8"/>
    <n v="8"/>
    <x v="6"/>
    <n v="1"/>
    <n v="1068"/>
    <n v="0.89"/>
    <n v="1"/>
    <x v="2"/>
  </r>
  <r>
    <n v="50"/>
    <d v="2022-03-29T00:00:00"/>
    <d v="1899-12-30T18:51:00"/>
    <n v="71"/>
    <x v="1"/>
    <x v="17"/>
    <x v="1"/>
    <n v="3"/>
    <n v="25"/>
    <n v="10.5"/>
    <n v="75"/>
    <x v="0"/>
    <n v="3"/>
    <x v="8"/>
    <n v="29"/>
    <x v="6"/>
    <n v="1"/>
    <n v="64.5"/>
    <n v="0.86"/>
    <n v="0"/>
    <x v="2"/>
  </r>
  <r>
    <n v="479"/>
    <d v="2022-11-03T00:00:00"/>
    <d v="1899-12-30T21:35:00"/>
    <n v="90"/>
    <x v="0"/>
    <x v="41"/>
    <x v="2"/>
    <n v="4"/>
    <n v="300"/>
    <n v="105"/>
    <n v="1200"/>
    <x v="0"/>
    <n v="11"/>
    <x v="0"/>
    <n v="3"/>
    <x v="2"/>
    <n v="4"/>
    <n v="1095"/>
    <n v="0.91249999999999998"/>
    <n v="1"/>
    <x v="0"/>
  </r>
  <r>
    <n v="804"/>
    <d v="2023-12-11T00:00:00"/>
    <d v="1899-12-30T17:12:00"/>
    <n v="99"/>
    <x v="0"/>
    <x v="25"/>
    <x v="2"/>
    <n v="1"/>
    <n v="30"/>
    <n v="10.8"/>
    <n v="30"/>
    <x v="1"/>
    <n v="12"/>
    <x v="2"/>
    <n v="11"/>
    <x v="1"/>
    <n v="4"/>
    <n v="19.2"/>
    <n v="0.64"/>
    <n v="0"/>
    <x v="0"/>
  </r>
  <r>
    <n v="1050"/>
    <d v="2022-12-10T00:00:00"/>
    <d v="1899-12-30T20:15:00"/>
    <n v="24"/>
    <x v="1"/>
    <x v="17"/>
    <x v="1"/>
    <n v="3"/>
    <n v="25"/>
    <n v="11.25"/>
    <n v="75"/>
    <x v="0"/>
    <n v="12"/>
    <x v="2"/>
    <n v="10"/>
    <x v="0"/>
    <n v="4"/>
    <n v="63.75"/>
    <n v="0.85"/>
    <n v="0"/>
    <x v="0"/>
  </r>
  <r>
    <n v="1479"/>
    <d v="2022-05-31T00:00:00"/>
    <d v="1899-12-30T22:24:00"/>
    <n v="108"/>
    <x v="0"/>
    <x v="41"/>
    <x v="2"/>
    <n v="4"/>
    <n v="300"/>
    <n v="162"/>
    <n v="1200"/>
    <x v="0"/>
    <n v="5"/>
    <x v="7"/>
    <n v="31"/>
    <x v="6"/>
    <n v="2"/>
    <n v="1038"/>
    <n v="0.86499999999999999"/>
    <n v="1"/>
    <x v="3"/>
  </r>
  <r>
    <n v="1804"/>
    <d v="2023-01-10T00:00:00"/>
    <d v="1899-12-30T22:46:00"/>
    <n v="74"/>
    <x v="0"/>
    <x v="25"/>
    <x v="2"/>
    <n v="1"/>
    <n v="30"/>
    <n v="14.7"/>
    <n v="30"/>
    <x v="1"/>
    <n v="1"/>
    <x v="3"/>
    <n v="10"/>
    <x v="6"/>
    <n v="1"/>
    <n v="15.3"/>
    <n v="0.51"/>
    <n v="0"/>
    <x v="2"/>
  </r>
  <r>
    <n v="92"/>
    <d v="2022-03-21T00:00:00"/>
    <d v="1899-12-30T19:41:00"/>
    <n v="10"/>
    <x v="1"/>
    <x v="12"/>
    <x v="2"/>
    <n v="4"/>
    <n v="30"/>
    <n v="8.6999999999999993"/>
    <n v="120"/>
    <x v="0"/>
    <n v="3"/>
    <x v="8"/>
    <n v="21"/>
    <x v="1"/>
    <n v="1"/>
    <n v="111.3"/>
    <n v="0.92749999999999999"/>
    <n v="0"/>
    <x v="2"/>
  </r>
  <r>
    <n v="282"/>
    <d v="2023-10-05T00:00:00"/>
    <d v="1899-12-30T17:39:00"/>
    <n v="10"/>
    <x v="1"/>
    <x v="3"/>
    <x v="2"/>
    <n v="4"/>
    <n v="50"/>
    <n v="56"/>
    <n v="200"/>
    <x v="1"/>
    <n v="10"/>
    <x v="5"/>
    <n v="5"/>
    <x v="2"/>
    <n v="4"/>
    <n v="144"/>
    <n v="0.72"/>
    <n v="1"/>
    <x v="0"/>
  </r>
  <r>
    <n v="718"/>
    <d v="2023-11-02T00:00:00"/>
    <d v="1899-12-30T20:25:00"/>
    <n v="154"/>
    <x v="1"/>
    <x v="26"/>
    <x v="1"/>
    <n v="3"/>
    <n v="25"/>
    <n v="25"/>
    <n v="75"/>
    <x v="1"/>
    <n v="11"/>
    <x v="0"/>
    <n v="2"/>
    <x v="2"/>
    <n v="4"/>
    <n v="50"/>
    <n v="0.66666666699999999"/>
    <n v="0"/>
    <x v="0"/>
  </r>
  <r>
    <n v="1092"/>
    <d v="2022-05-03T00:00:00"/>
    <d v="1899-12-30T20:15:00"/>
    <n v="58"/>
    <x v="1"/>
    <x v="12"/>
    <x v="2"/>
    <n v="4"/>
    <n v="30"/>
    <n v="31.5"/>
    <n v="120"/>
    <x v="0"/>
    <n v="5"/>
    <x v="7"/>
    <n v="3"/>
    <x v="6"/>
    <n v="2"/>
    <n v="88.5"/>
    <n v="0.73750000000000004"/>
    <n v="0"/>
    <x v="3"/>
  </r>
  <r>
    <n v="1282"/>
    <d v="2023-02-20T00:00:00"/>
    <d v="1899-12-30T20:05:00"/>
    <n v="23"/>
    <x v="1"/>
    <x v="3"/>
    <x v="2"/>
    <n v="4"/>
    <n v="50"/>
    <n v="48.5"/>
    <n v="200"/>
    <x v="1"/>
    <n v="2"/>
    <x v="10"/>
    <n v="20"/>
    <x v="1"/>
    <n v="1"/>
    <n v="151.5"/>
    <n v="0.75749999999999995"/>
    <n v="1"/>
    <x v="2"/>
  </r>
  <r>
    <n v="1718"/>
    <d v="2023-10-25T00:00:00"/>
    <d v="1899-12-30T19:03:00"/>
    <n v="20"/>
    <x v="1"/>
    <x v="26"/>
    <x v="1"/>
    <n v="3"/>
    <n v="25"/>
    <n v="25.5"/>
    <n v="75"/>
    <x v="1"/>
    <n v="10"/>
    <x v="5"/>
    <n v="25"/>
    <x v="4"/>
    <n v="4"/>
    <n v="49.5"/>
    <n v="0.66"/>
    <n v="0"/>
    <x v="0"/>
  </r>
  <r>
    <n v="617"/>
    <d v="2022-08-06T00:00:00"/>
    <d v="1899-12-30T19:12:00"/>
    <n v="30"/>
    <x v="0"/>
    <x v="23"/>
    <x v="2"/>
    <n v="1"/>
    <n v="30"/>
    <n v="28.5"/>
    <n v="30"/>
    <x v="0"/>
    <n v="8"/>
    <x v="4"/>
    <n v="6"/>
    <x v="0"/>
    <n v="3"/>
    <n v="1.5"/>
    <n v="0.05"/>
    <n v="0"/>
    <x v="1"/>
  </r>
  <r>
    <n v="624"/>
    <d v="2022-02-05T00:00:00"/>
    <d v="1899-12-30T19:08:00"/>
    <n v="48"/>
    <x v="1"/>
    <x v="23"/>
    <x v="1"/>
    <n v="3"/>
    <n v="300"/>
    <n v="342"/>
    <n v="900"/>
    <x v="0"/>
    <n v="2"/>
    <x v="10"/>
    <n v="5"/>
    <x v="0"/>
    <n v="1"/>
    <n v="558"/>
    <n v="0.62"/>
    <n v="1"/>
    <x v="2"/>
  </r>
  <r>
    <n v="825"/>
    <d v="2022-01-08T00:00:00"/>
    <d v="1899-12-30T17:27:00"/>
    <n v="51"/>
    <x v="1"/>
    <x v="1"/>
    <x v="1"/>
    <n v="1"/>
    <n v="25"/>
    <n v="27.25"/>
    <n v="25"/>
    <x v="0"/>
    <n v="1"/>
    <x v="3"/>
    <n v="8"/>
    <x v="0"/>
    <n v="1"/>
    <n v="-2.25"/>
    <n v="-0.09"/>
    <n v="0"/>
    <x v="2"/>
  </r>
  <r>
    <n v="1617"/>
    <d v="2022-05-01T00:00:00"/>
    <d v="1899-12-30T17:09:00"/>
    <n v="77"/>
    <x v="0"/>
    <x v="23"/>
    <x v="2"/>
    <n v="1"/>
    <n v="30"/>
    <n v="35.1"/>
    <n v="30"/>
    <x v="0"/>
    <n v="5"/>
    <x v="7"/>
    <n v="1"/>
    <x v="5"/>
    <n v="2"/>
    <n v="-5.0999999999999996"/>
    <n v="-0.17"/>
    <n v="0"/>
    <x v="3"/>
  </r>
  <r>
    <n v="1624"/>
    <d v="2022-11-18T00:00:00"/>
    <d v="1899-12-30T20:48:00"/>
    <n v="121"/>
    <x v="1"/>
    <x v="23"/>
    <x v="1"/>
    <n v="3"/>
    <n v="300"/>
    <n v="363"/>
    <n v="900"/>
    <x v="0"/>
    <n v="11"/>
    <x v="0"/>
    <n v="18"/>
    <x v="3"/>
    <n v="4"/>
    <n v="537"/>
    <n v="0.59666666700000004"/>
    <n v="1"/>
    <x v="0"/>
  </r>
  <r>
    <n v="1825"/>
    <d v="2023-08-30T00:00:00"/>
    <d v="1899-12-30T18:34:00"/>
    <n v="105"/>
    <x v="1"/>
    <x v="1"/>
    <x v="1"/>
    <n v="1"/>
    <n v="25"/>
    <n v="27"/>
    <n v="25"/>
    <x v="1"/>
    <n v="8"/>
    <x v="4"/>
    <n v="30"/>
    <x v="4"/>
    <n v="3"/>
    <n v="-2"/>
    <n v="-0.08"/>
    <n v="0"/>
    <x v="1"/>
  </r>
  <r>
    <n v="568"/>
    <d v="2023-08-11T00:00:00"/>
    <d v="1899-12-30T20:03:00"/>
    <n v="32"/>
    <x v="1"/>
    <x v="12"/>
    <x v="2"/>
    <n v="1"/>
    <n v="300"/>
    <n v="372"/>
    <n v="300"/>
    <x v="1"/>
    <n v="8"/>
    <x v="4"/>
    <n v="11"/>
    <x v="3"/>
    <n v="3"/>
    <n v="-72"/>
    <n v="-0.24"/>
    <n v="1"/>
    <x v="1"/>
  </r>
  <r>
    <n v="671"/>
    <d v="2023-09-23T00:00:00"/>
    <d v="1899-12-30T19:51:00"/>
    <n v="2"/>
    <x v="0"/>
    <x v="44"/>
    <x v="2"/>
    <n v="3"/>
    <n v="50"/>
    <n v="61.5"/>
    <n v="150"/>
    <x v="1"/>
    <n v="9"/>
    <x v="9"/>
    <n v="23"/>
    <x v="0"/>
    <n v="3"/>
    <n v="88.5"/>
    <n v="0.59"/>
    <n v="1"/>
    <x v="1"/>
  </r>
  <r>
    <n v="756"/>
    <d v="2023-07-17T00:00:00"/>
    <d v="1899-12-30T20:33:00"/>
    <n v="4"/>
    <x v="1"/>
    <x v="44"/>
    <x v="2"/>
    <n v="4"/>
    <n v="300"/>
    <n v="333"/>
    <n v="1200"/>
    <x v="1"/>
    <n v="7"/>
    <x v="1"/>
    <n v="17"/>
    <x v="1"/>
    <n v="3"/>
    <n v="867"/>
    <n v="0.72250000000000003"/>
    <n v="1"/>
    <x v="1"/>
  </r>
  <r>
    <n v="815"/>
    <d v="2023-04-05T00:00:00"/>
    <d v="1899-12-30T21:15:00"/>
    <n v="139"/>
    <x v="1"/>
    <x v="12"/>
    <x v="0"/>
    <n v="3"/>
    <n v="25"/>
    <n v="23.75"/>
    <n v="75"/>
    <x v="1"/>
    <n v="4"/>
    <x v="6"/>
    <n v="5"/>
    <x v="4"/>
    <n v="2"/>
    <n v="51.25"/>
    <n v="0.68333333299999999"/>
    <n v="0"/>
    <x v="3"/>
  </r>
  <r>
    <n v="1568"/>
    <d v="2022-10-09T00:00:00"/>
    <d v="1899-12-30T22:34:00"/>
    <n v="51"/>
    <x v="1"/>
    <x v="12"/>
    <x v="2"/>
    <n v="1"/>
    <n v="300"/>
    <n v="336"/>
    <n v="300"/>
    <x v="0"/>
    <n v="10"/>
    <x v="5"/>
    <n v="9"/>
    <x v="5"/>
    <n v="4"/>
    <n v="-36"/>
    <n v="-0.12"/>
    <n v="1"/>
    <x v="0"/>
  </r>
  <r>
    <n v="1671"/>
    <d v="2023-02-28T00:00:00"/>
    <d v="1899-12-30T20:55:00"/>
    <n v="47"/>
    <x v="0"/>
    <x v="44"/>
    <x v="2"/>
    <n v="3"/>
    <n v="50"/>
    <n v="62.5"/>
    <n v="150"/>
    <x v="1"/>
    <n v="2"/>
    <x v="10"/>
    <n v="28"/>
    <x v="6"/>
    <n v="1"/>
    <n v="87.5"/>
    <n v="0.58333333300000001"/>
    <n v="1"/>
    <x v="2"/>
  </r>
  <r>
    <n v="1756"/>
    <d v="2022-05-12T00:00:00"/>
    <d v="1899-12-30T22:16:00"/>
    <n v="119"/>
    <x v="1"/>
    <x v="44"/>
    <x v="2"/>
    <n v="4"/>
    <n v="300"/>
    <n v="297"/>
    <n v="1200"/>
    <x v="0"/>
    <n v="5"/>
    <x v="7"/>
    <n v="12"/>
    <x v="2"/>
    <n v="2"/>
    <n v="903"/>
    <n v="0.75249999999999995"/>
    <n v="1"/>
    <x v="3"/>
  </r>
  <r>
    <n v="1815"/>
    <d v="2023-05-24T00:00:00"/>
    <d v="1899-12-30T22:19:00"/>
    <n v="6"/>
    <x v="1"/>
    <x v="12"/>
    <x v="0"/>
    <n v="3"/>
    <n v="25"/>
    <n v="30.5"/>
    <n v="75"/>
    <x v="1"/>
    <n v="5"/>
    <x v="7"/>
    <n v="24"/>
    <x v="4"/>
    <n v="2"/>
    <n v="44.5"/>
    <n v="0.59333333300000002"/>
    <n v="0"/>
    <x v="3"/>
  </r>
  <r>
    <n v="146"/>
    <d v="2022-11-10T00:00:00"/>
    <d v="1899-12-30T22:01:00"/>
    <n v="74"/>
    <x v="0"/>
    <x v="9"/>
    <x v="0"/>
    <n v="4"/>
    <n v="50"/>
    <n v="49"/>
    <n v="200"/>
    <x v="0"/>
    <n v="11"/>
    <x v="0"/>
    <n v="10"/>
    <x v="2"/>
    <n v="4"/>
    <n v="151"/>
    <n v="0.755"/>
    <n v="1"/>
    <x v="0"/>
  </r>
  <r>
    <n v="263"/>
    <d v="2022-05-04T00:00:00"/>
    <d v="1899-12-30T21:48:00"/>
    <n v="133"/>
    <x v="0"/>
    <x v="8"/>
    <x v="1"/>
    <n v="2"/>
    <n v="30"/>
    <n v="34.799999999999997"/>
    <n v="60"/>
    <x v="0"/>
    <n v="5"/>
    <x v="7"/>
    <n v="4"/>
    <x v="4"/>
    <n v="2"/>
    <n v="25.2"/>
    <n v="0.42"/>
    <n v="0"/>
    <x v="3"/>
  </r>
  <r>
    <n v="704"/>
    <d v="2023-09-11T00:00:00"/>
    <d v="1899-12-30T22:40:00"/>
    <n v="141"/>
    <x v="1"/>
    <x v="44"/>
    <x v="0"/>
    <n v="3"/>
    <n v="30"/>
    <n v="34.799999999999997"/>
    <n v="90"/>
    <x v="1"/>
    <n v="9"/>
    <x v="9"/>
    <n v="11"/>
    <x v="1"/>
    <n v="3"/>
    <n v="55.2"/>
    <n v="0.61333333300000004"/>
    <n v="0"/>
    <x v="1"/>
  </r>
  <r>
    <n v="1146"/>
    <d v="2023-10-09T00:00:00"/>
    <d v="1899-12-30T21:11:00"/>
    <n v="52"/>
    <x v="0"/>
    <x v="9"/>
    <x v="0"/>
    <n v="4"/>
    <n v="50"/>
    <n v="60"/>
    <n v="200"/>
    <x v="1"/>
    <n v="10"/>
    <x v="5"/>
    <n v="9"/>
    <x v="1"/>
    <n v="4"/>
    <n v="140"/>
    <n v="0.7"/>
    <n v="1"/>
    <x v="0"/>
  </r>
  <r>
    <n v="1263"/>
    <d v="2022-09-07T00:00:00"/>
    <d v="1899-12-30T20:49:00"/>
    <n v="47"/>
    <x v="0"/>
    <x v="8"/>
    <x v="1"/>
    <n v="2"/>
    <n v="30"/>
    <n v="35.4"/>
    <n v="60"/>
    <x v="0"/>
    <n v="9"/>
    <x v="9"/>
    <n v="7"/>
    <x v="4"/>
    <n v="3"/>
    <n v="24.6"/>
    <n v="0.41"/>
    <n v="0"/>
    <x v="1"/>
  </r>
  <r>
    <n v="1704"/>
    <d v="2022-09-16T00:00:00"/>
    <d v="1899-12-30T20:07:00"/>
    <n v="155"/>
    <x v="1"/>
    <x v="44"/>
    <x v="0"/>
    <n v="3"/>
    <n v="30"/>
    <n v="30.3"/>
    <n v="90"/>
    <x v="0"/>
    <n v="9"/>
    <x v="9"/>
    <n v="16"/>
    <x v="3"/>
    <n v="3"/>
    <n v="59.7"/>
    <n v="0.66333333299999997"/>
    <n v="0"/>
    <x v="1"/>
  </r>
  <r>
    <n v="476"/>
    <d v="2023-12-12T00:00:00"/>
    <d v="1899-12-30T18:31:00"/>
    <n v="131"/>
    <x v="1"/>
    <x v="17"/>
    <x v="0"/>
    <n v="4"/>
    <n v="500"/>
    <n v="570"/>
    <n v="2000"/>
    <x v="1"/>
    <n v="12"/>
    <x v="2"/>
    <n v="12"/>
    <x v="6"/>
    <n v="4"/>
    <n v="1430"/>
    <n v="0.71499999999999997"/>
    <n v="1"/>
    <x v="0"/>
  </r>
  <r>
    <n v="733"/>
    <d v="2022-10-25T00:00:00"/>
    <d v="1899-12-30T21:07:00"/>
    <n v="143"/>
    <x v="0"/>
    <x v="23"/>
    <x v="1"/>
    <n v="1"/>
    <n v="30"/>
    <n v="28.5"/>
    <n v="30"/>
    <x v="0"/>
    <n v="10"/>
    <x v="5"/>
    <n v="25"/>
    <x v="6"/>
    <n v="4"/>
    <n v="1.5"/>
    <n v="0.05"/>
    <n v="0"/>
    <x v="0"/>
  </r>
  <r>
    <n v="924"/>
    <d v="2022-09-17T00:00:00"/>
    <d v="1899-12-30T22:18:00"/>
    <n v="151"/>
    <x v="0"/>
    <x v="46"/>
    <x v="1"/>
    <n v="2"/>
    <n v="50"/>
    <n v="55"/>
    <n v="100"/>
    <x v="0"/>
    <n v="9"/>
    <x v="9"/>
    <n v="17"/>
    <x v="0"/>
    <n v="3"/>
    <n v="45"/>
    <n v="0.45"/>
    <n v="0"/>
    <x v="1"/>
  </r>
  <r>
    <n v="984"/>
    <d v="2023-11-20T00:00:00"/>
    <d v="1899-12-30T19:29:00"/>
    <n v="83"/>
    <x v="0"/>
    <x v="34"/>
    <x v="0"/>
    <n v="1"/>
    <n v="500"/>
    <n v="480"/>
    <n v="500"/>
    <x v="1"/>
    <n v="11"/>
    <x v="0"/>
    <n v="20"/>
    <x v="1"/>
    <n v="4"/>
    <n v="20"/>
    <n v="0.04"/>
    <n v="1"/>
    <x v="0"/>
  </r>
  <r>
    <n v="1476"/>
    <d v="2022-11-11T00:00:00"/>
    <d v="1899-12-30T22:27:00"/>
    <n v="130"/>
    <x v="1"/>
    <x v="17"/>
    <x v="0"/>
    <n v="4"/>
    <n v="500"/>
    <n v="555"/>
    <n v="2000"/>
    <x v="0"/>
    <n v="11"/>
    <x v="0"/>
    <n v="11"/>
    <x v="3"/>
    <n v="4"/>
    <n v="1445"/>
    <n v="0.72250000000000003"/>
    <n v="1"/>
    <x v="0"/>
  </r>
  <r>
    <n v="1733"/>
    <d v="2023-09-03T00:00:00"/>
    <d v="1899-12-30T20:52:00"/>
    <n v="146"/>
    <x v="0"/>
    <x v="23"/>
    <x v="1"/>
    <n v="1"/>
    <n v="30"/>
    <n v="36.6"/>
    <n v="30"/>
    <x v="1"/>
    <n v="9"/>
    <x v="9"/>
    <n v="3"/>
    <x v="5"/>
    <n v="3"/>
    <n v="-6.6"/>
    <n v="-0.22"/>
    <n v="0"/>
    <x v="1"/>
  </r>
  <r>
    <n v="1924"/>
    <d v="2022-11-28T00:00:00"/>
    <d v="1899-12-30T22:25:00"/>
    <n v="107"/>
    <x v="0"/>
    <x v="46"/>
    <x v="1"/>
    <n v="2"/>
    <n v="50"/>
    <n v="54.5"/>
    <n v="100"/>
    <x v="0"/>
    <n v="11"/>
    <x v="0"/>
    <n v="28"/>
    <x v="1"/>
    <n v="4"/>
    <n v="45.5"/>
    <n v="0.45500000000000002"/>
    <n v="0"/>
    <x v="0"/>
  </r>
  <r>
    <n v="1984"/>
    <d v="2023-09-09T00:00:00"/>
    <d v="1899-12-30T20:10:00"/>
    <n v="126"/>
    <x v="0"/>
    <x v="34"/>
    <x v="0"/>
    <n v="1"/>
    <n v="500"/>
    <n v="530"/>
    <n v="500"/>
    <x v="1"/>
    <n v="9"/>
    <x v="9"/>
    <n v="9"/>
    <x v="0"/>
    <n v="3"/>
    <n v="-30"/>
    <n v="-0.06"/>
    <n v="1"/>
    <x v="1"/>
  </r>
  <r>
    <n v="251"/>
    <d v="2022-09-15T00:00:00"/>
    <d v="1899-12-30T21:00:00"/>
    <n v="141"/>
    <x v="1"/>
    <x v="10"/>
    <x v="1"/>
    <n v="4"/>
    <n v="50"/>
    <n v="62.5"/>
    <n v="200"/>
    <x v="0"/>
    <n v="9"/>
    <x v="9"/>
    <n v="15"/>
    <x v="2"/>
    <n v="3"/>
    <n v="137.5"/>
    <n v="0.6875"/>
    <n v="1"/>
    <x v="1"/>
  </r>
  <r>
    <n v="253"/>
    <d v="2022-09-30T00:00:00"/>
    <d v="1899-12-30T21:26:00"/>
    <n v="66"/>
    <x v="1"/>
    <x v="21"/>
    <x v="0"/>
    <n v="4"/>
    <n v="500"/>
    <n v="525"/>
    <n v="2000"/>
    <x v="0"/>
    <n v="9"/>
    <x v="9"/>
    <n v="30"/>
    <x v="3"/>
    <n v="3"/>
    <n v="1475"/>
    <n v="0.73750000000000004"/>
    <n v="1"/>
    <x v="1"/>
  </r>
  <r>
    <n v="574"/>
    <d v="2023-09-17T00:00:00"/>
    <d v="1899-12-30T20:12:00"/>
    <n v="24"/>
    <x v="1"/>
    <x v="15"/>
    <x v="2"/>
    <n v="2"/>
    <n v="25"/>
    <n v="24.75"/>
    <n v="50"/>
    <x v="1"/>
    <n v="9"/>
    <x v="9"/>
    <n v="17"/>
    <x v="5"/>
    <n v="3"/>
    <n v="25.25"/>
    <n v="0.505"/>
    <n v="0"/>
    <x v="1"/>
  </r>
  <r>
    <n v="751"/>
    <d v="2023-11-08T00:00:00"/>
    <d v="1899-12-30T19:58:00"/>
    <n v="115"/>
    <x v="1"/>
    <x v="25"/>
    <x v="0"/>
    <n v="2"/>
    <n v="25"/>
    <n v="24.75"/>
    <n v="50"/>
    <x v="1"/>
    <n v="11"/>
    <x v="0"/>
    <n v="8"/>
    <x v="4"/>
    <n v="4"/>
    <n v="25.25"/>
    <n v="0.505"/>
    <n v="0"/>
    <x v="0"/>
  </r>
  <r>
    <n v="871"/>
    <d v="2023-11-02T00:00:00"/>
    <d v="1899-12-30T23:00:00"/>
    <n v="57"/>
    <x v="0"/>
    <x v="44"/>
    <x v="1"/>
    <n v="2"/>
    <n v="30"/>
    <n v="33.9"/>
    <n v="60"/>
    <x v="1"/>
    <n v="11"/>
    <x v="0"/>
    <n v="2"/>
    <x v="2"/>
    <n v="4"/>
    <n v="26.1"/>
    <n v="0.435"/>
    <n v="0"/>
    <x v="0"/>
  </r>
  <r>
    <n v="1251"/>
    <d v="2022-09-11T00:00:00"/>
    <d v="1899-12-30T21:08:00"/>
    <n v="137"/>
    <x v="1"/>
    <x v="10"/>
    <x v="1"/>
    <n v="4"/>
    <n v="50"/>
    <n v="57.5"/>
    <n v="200"/>
    <x v="0"/>
    <n v="9"/>
    <x v="9"/>
    <n v="11"/>
    <x v="5"/>
    <n v="3"/>
    <n v="142.5"/>
    <n v="0.71250000000000002"/>
    <n v="1"/>
    <x v="1"/>
  </r>
  <r>
    <n v="1253"/>
    <d v="2023-12-03T00:00:00"/>
    <d v="1899-12-30T19:58:00"/>
    <n v="108"/>
    <x v="1"/>
    <x v="21"/>
    <x v="0"/>
    <n v="4"/>
    <n v="500"/>
    <n v="605"/>
    <n v="2000"/>
    <x v="1"/>
    <n v="12"/>
    <x v="2"/>
    <n v="3"/>
    <x v="5"/>
    <n v="4"/>
    <n v="1395"/>
    <n v="0.69750000000000001"/>
    <n v="1"/>
    <x v="0"/>
  </r>
  <r>
    <n v="1574"/>
    <d v="2022-10-26T00:00:00"/>
    <d v="1899-12-30T21:51:00"/>
    <n v="150"/>
    <x v="1"/>
    <x v="15"/>
    <x v="2"/>
    <n v="2"/>
    <n v="25"/>
    <n v="24.75"/>
    <n v="50"/>
    <x v="0"/>
    <n v="10"/>
    <x v="5"/>
    <n v="26"/>
    <x v="4"/>
    <n v="4"/>
    <n v="25.25"/>
    <n v="0.505"/>
    <n v="0"/>
    <x v="0"/>
  </r>
  <r>
    <n v="1751"/>
    <d v="2023-12-27T00:00:00"/>
    <d v="1899-12-30T22:09:00"/>
    <n v="99"/>
    <x v="1"/>
    <x v="25"/>
    <x v="0"/>
    <n v="2"/>
    <n v="25"/>
    <n v="30.25"/>
    <n v="50"/>
    <x v="1"/>
    <n v="12"/>
    <x v="2"/>
    <n v="27"/>
    <x v="4"/>
    <n v="4"/>
    <n v="19.75"/>
    <n v="0.39500000000000002"/>
    <n v="0"/>
    <x v="0"/>
  </r>
  <r>
    <n v="1871"/>
    <d v="2022-09-26T00:00:00"/>
    <d v="1899-12-30T18:39:00"/>
    <n v="41"/>
    <x v="0"/>
    <x v="44"/>
    <x v="1"/>
    <n v="2"/>
    <n v="30"/>
    <n v="30.6"/>
    <n v="60"/>
    <x v="0"/>
    <n v="9"/>
    <x v="9"/>
    <n v="26"/>
    <x v="1"/>
    <n v="3"/>
    <n v="29.4"/>
    <n v="0.49"/>
    <n v="0"/>
    <x v="1"/>
  </r>
  <r>
    <n v="200"/>
    <d v="2022-10-09T00:00:00"/>
    <d v="1899-12-30T22:29:00"/>
    <n v="130"/>
    <x v="0"/>
    <x v="17"/>
    <x v="1"/>
    <n v="3"/>
    <n v="50"/>
    <n v="60"/>
    <n v="150"/>
    <x v="0"/>
    <n v="10"/>
    <x v="5"/>
    <n v="9"/>
    <x v="5"/>
    <n v="4"/>
    <n v="90"/>
    <n v="0.6"/>
    <n v="1"/>
    <x v="0"/>
  </r>
  <r>
    <n v="594"/>
    <d v="2023-09-07T00:00:00"/>
    <d v="1899-12-30T21:49:00"/>
    <n v="72"/>
    <x v="1"/>
    <x v="4"/>
    <x v="2"/>
    <n v="2"/>
    <n v="300"/>
    <n v="291"/>
    <n v="600"/>
    <x v="1"/>
    <n v="9"/>
    <x v="9"/>
    <n v="7"/>
    <x v="2"/>
    <n v="3"/>
    <n v="309"/>
    <n v="0.51500000000000001"/>
    <n v="1"/>
    <x v="1"/>
  </r>
  <r>
    <n v="637"/>
    <d v="2022-12-02T00:00:00"/>
    <d v="1899-12-30T18:54:00"/>
    <n v="21"/>
    <x v="0"/>
    <x v="22"/>
    <x v="0"/>
    <n v="2"/>
    <n v="300"/>
    <n v="321"/>
    <n v="600"/>
    <x v="0"/>
    <n v="12"/>
    <x v="2"/>
    <n v="2"/>
    <x v="3"/>
    <n v="4"/>
    <n v="279"/>
    <n v="0.46500000000000002"/>
    <n v="1"/>
    <x v="0"/>
  </r>
  <r>
    <n v="855"/>
    <d v="2022-11-21T00:00:00"/>
    <d v="1899-12-30T19:43:00"/>
    <n v="13"/>
    <x v="0"/>
    <x v="29"/>
    <x v="1"/>
    <n v="1"/>
    <n v="25"/>
    <n v="25.75"/>
    <n v="25"/>
    <x v="0"/>
    <n v="11"/>
    <x v="0"/>
    <n v="21"/>
    <x v="1"/>
    <n v="4"/>
    <n v="-0.75"/>
    <n v="-0.03"/>
    <n v="0"/>
    <x v="0"/>
  </r>
  <r>
    <n v="1200"/>
    <d v="2023-10-18T00:00:00"/>
    <d v="1899-12-30T19:04:00"/>
    <n v="20"/>
    <x v="0"/>
    <x v="17"/>
    <x v="1"/>
    <n v="3"/>
    <n v="50"/>
    <n v="54.5"/>
    <n v="150"/>
    <x v="1"/>
    <n v="10"/>
    <x v="5"/>
    <n v="18"/>
    <x v="4"/>
    <n v="4"/>
    <n v="95.5"/>
    <n v="0.63666666699999996"/>
    <n v="1"/>
    <x v="0"/>
  </r>
  <r>
    <n v="1594"/>
    <d v="2023-10-01T00:00:00"/>
    <d v="1899-12-30T19:02:00"/>
    <n v="31"/>
    <x v="1"/>
    <x v="4"/>
    <x v="2"/>
    <n v="2"/>
    <n v="300"/>
    <n v="345"/>
    <n v="600"/>
    <x v="1"/>
    <n v="10"/>
    <x v="5"/>
    <n v="1"/>
    <x v="5"/>
    <n v="4"/>
    <n v="255"/>
    <n v="0.42499999999999999"/>
    <n v="1"/>
    <x v="0"/>
  </r>
  <r>
    <n v="1637"/>
    <d v="2022-10-25T00:00:00"/>
    <d v="1899-12-30T20:50:00"/>
    <n v="97"/>
    <x v="0"/>
    <x v="22"/>
    <x v="0"/>
    <n v="2"/>
    <n v="300"/>
    <n v="297"/>
    <n v="600"/>
    <x v="0"/>
    <n v="10"/>
    <x v="5"/>
    <n v="25"/>
    <x v="6"/>
    <n v="4"/>
    <n v="303"/>
    <n v="0.505"/>
    <n v="1"/>
    <x v="0"/>
  </r>
  <r>
    <n v="1855"/>
    <d v="2023-12-27T00:00:00"/>
    <d v="1899-12-30T21:15:00"/>
    <n v="44"/>
    <x v="0"/>
    <x v="29"/>
    <x v="1"/>
    <n v="1"/>
    <n v="25"/>
    <n v="31.25"/>
    <n v="25"/>
    <x v="1"/>
    <n v="12"/>
    <x v="2"/>
    <n v="27"/>
    <x v="4"/>
    <n v="4"/>
    <n v="-6.25"/>
    <n v="-0.25"/>
    <n v="0"/>
    <x v="0"/>
  </r>
  <r>
    <n v="325"/>
    <d v="2023-09-16T00:00:00"/>
    <d v="1899-12-30T22:02:00"/>
    <n v="6"/>
    <x v="1"/>
    <x v="41"/>
    <x v="2"/>
    <n v="2"/>
    <n v="25"/>
    <n v="31.25"/>
    <n v="50"/>
    <x v="1"/>
    <n v="9"/>
    <x v="9"/>
    <n v="16"/>
    <x v="0"/>
    <n v="3"/>
    <n v="18.75"/>
    <n v="0.375"/>
    <n v="0"/>
    <x v="1"/>
  </r>
  <r>
    <n v="682"/>
    <d v="2023-10-23T00:00:00"/>
    <d v="1899-12-30T20:51:00"/>
    <n v="60"/>
    <x v="0"/>
    <x v="1"/>
    <x v="1"/>
    <n v="4"/>
    <n v="300"/>
    <n v="354"/>
    <n v="1200"/>
    <x v="1"/>
    <n v="10"/>
    <x v="5"/>
    <n v="23"/>
    <x v="1"/>
    <n v="4"/>
    <n v="846"/>
    <n v="0.70499999999999996"/>
    <n v="1"/>
    <x v="0"/>
  </r>
  <r>
    <n v="931"/>
    <d v="2023-10-07T00:00:00"/>
    <d v="1899-12-30T21:34:00"/>
    <n v="48"/>
    <x v="0"/>
    <x v="7"/>
    <x v="1"/>
    <n v="4"/>
    <n v="30"/>
    <n v="29.1"/>
    <n v="120"/>
    <x v="1"/>
    <n v="10"/>
    <x v="5"/>
    <n v="7"/>
    <x v="0"/>
    <n v="4"/>
    <n v="90.9"/>
    <n v="0.75749999999999995"/>
    <n v="0"/>
    <x v="0"/>
  </r>
  <r>
    <n v="1325"/>
    <d v="2022-10-11T00:00:00"/>
    <d v="1899-12-30T19:47:00"/>
    <n v="18"/>
    <x v="1"/>
    <x v="41"/>
    <x v="2"/>
    <n v="2"/>
    <n v="25"/>
    <n v="26.75"/>
    <n v="50"/>
    <x v="0"/>
    <n v="10"/>
    <x v="5"/>
    <n v="11"/>
    <x v="6"/>
    <n v="4"/>
    <n v="23.25"/>
    <n v="0.46500000000000002"/>
    <n v="0"/>
    <x v="0"/>
  </r>
  <r>
    <n v="1682"/>
    <d v="2022-12-30T00:00:00"/>
    <d v="1899-12-30T19:30:00"/>
    <n v="71"/>
    <x v="0"/>
    <x v="1"/>
    <x v="1"/>
    <n v="4"/>
    <n v="300"/>
    <n v="315"/>
    <n v="1200"/>
    <x v="0"/>
    <n v="12"/>
    <x v="2"/>
    <n v="30"/>
    <x v="3"/>
    <n v="4"/>
    <n v="885"/>
    <n v="0.73750000000000004"/>
    <n v="1"/>
    <x v="0"/>
  </r>
  <r>
    <n v="1931"/>
    <d v="2022-12-01T00:00:00"/>
    <d v="1899-12-30T19:15:00"/>
    <n v="61"/>
    <x v="0"/>
    <x v="7"/>
    <x v="1"/>
    <n v="4"/>
    <n v="30"/>
    <n v="34.200000000000003"/>
    <n v="120"/>
    <x v="0"/>
    <n v="12"/>
    <x v="2"/>
    <n v="1"/>
    <x v="2"/>
    <n v="4"/>
    <n v="85.8"/>
    <n v="0.71499999999999997"/>
    <n v="0"/>
    <x v="0"/>
  </r>
  <r>
    <n v="925"/>
    <d v="2022-12-20T00:00:00"/>
    <d v="1899-12-30T17:12:00"/>
    <n v="54"/>
    <x v="0"/>
    <x v="38"/>
    <x v="2"/>
    <n v="1"/>
    <n v="300"/>
    <n v="315"/>
    <n v="300"/>
    <x v="0"/>
    <n v="12"/>
    <x v="2"/>
    <n v="20"/>
    <x v="6"/>
    <n v="4"/>
    <n v="-15"/>
    <n v="-0.05"/>
    <n v="1"/>
    <x v="0"/>
  </r>
  <r>
    <n v="1925"/>
    <d v="2023-12-21T00:00:00"/>
    <d v="1899-12-30T17:05:00"/>
    <n v="81"/>
    <x v="0"/>
    <x v="38"/>
    <x v="2"/>
    <n v="1"/>
    <n v="300"/>
    <n v="366"/>
    <n v="300"/>
    <x v="1"/>
    <n v="12"/>
    <x v="2"/>
    <n v="21"/>
    <x v="2"/>
    <n v="4"/>
    <n v="-66"/>
    <n v="-0.22"/>
    <n v="1"/>
    <x v="0"/>
  </r>
  <r>
    <n v="297"/>
    <d v="2022-09-12T00:00:00"/>
    <d v="1899-12-30T21:09:00"/>
    <n v="70"/>
    <x v="1"/>
    <x v="2"/>
    <x v="2"/>
    <n v="2"/>
    <n v="500"/>
    <n v="595"/>
    <n v="1000"/>
    <x v="0"/>
    <n v="9"/>
    <x v="9"/>
    <n v="12"/>
    <x v="1"/>
    <n v="3"/>
    <n v="405"/>
    <n v="0.40500000000000003"/>
    <n v="1"/>
    <x v="1"/>
  </r>
  <r>
    <n v="1297"/>
    <d v="2023-10-20T00:00:00"/>
    <d v="1899-12-30T22:32:00"/>
    <n v="21"/>
    <x v="1"/>
    <x v="2"/>
    <x v="2"/>
    <n v="2"/>
    <n v="500"/>
    <n v="535"/>
    <n v="1000"/>
    <x v="1"/>
    <n v="10"/>
    <x v="5"/>
    <n v="20"/>
    <x v="3"/>
    <n v="4"/>
    <n v="465"/>
    <n v="0.46500000000000002"/>
    <n v="1"/>
    <x v="0"/>
  </r>
  <r>
    <n v="814"/>
    <d v="2022-10-01T00:00:00"/>
    <d v="1899-12-30T20:33:00"/>
    <n v="96"/>
    <x v="1"/>
    <x v="26"/>
    <x v="0"/>
    <n v="1"/>
    <n v="500"/>
    <n v="540"/>
    <n v="500"/>
    <x v="0"/>
    <n v="10"/>
    <x v="5"/>
    <n v="1"/>
    <x v="0"/>
    <n v="4"/>
    <n v="-40"/>
    <n v="-0.08"/>
    <n v="1"/>
    <x v="0"/>
  </r>
  <r>
    <n v="894"/>
    <d v="2022-09-22T00:00:00"/>
    <d v="1899-12-30T22:53:00"/>
    <n v="111"/>
    <x v="0"/>
    <x v="41"/>
    <x v="2"/>
    <n v="1"/>
    <n v="30"/>
    <n v="30.6"/>
    <n v="30"/>
    <x v="0"/>
    <n v="9"/>
    <x v="9"/>
    <n v="22"/>
    <x v="2"/>
    <n v="3"/>
    <n v="-0.6"/>
    <n v="-0.02"/>
    <n v="0"/>
    <x v="1"/>
  </r>
  <r>
    <n v="1814"/>
    <d v="2022-09-07T00:00:00"/>
    <d v="1899-12-30T17:53:00"/>
    <n v="43"/>
    <x v="1"/>
    <x v="26"/>
    <x v="0"/>
    <n v="1"/>
    <n v="500"/>
    <n v="620"/>
    <n v="500"/>
    <x v="0"/>
    <n v="9"/>
    <x v="9"/>
    <n v="7"/>
    <x v="4"/>
    <n v="3"/>
    <n v="-120"/>
    <n v="-0.24"/>
    <n v="1"/>
    <x v="1"/>
  </r>
  <r>
    <n v="1894"/>
    <d v="2023-12-29T00:00:00"/>
    <d v="1899-12-30T18:11:00"/>
    <n v="92"/>
    <x v="0"/>
    <x v="41"/>
    <x v="2"/>
    <n v="1"/>
    <n v="30"/>
    <n v="30"/>
    <n v="30"/>
    <x v="1"/>
    <n v="12"/>
    <x v="2"/>
    <n v="29"/>
    <x v="3"/>
    <n v="4"/>
    <n v="0"/>
    <n v="0"/>
    <n v="0"/>
    <x v="0"/>
  </r>
  <r>
    <n v="194"/>
    <d v="2023-10-11T00:00:00"/>
    <d v="1899-12-30T19:27:00"/>
    <n v="116"/>
    <x v="0"/>
    <x v="46"/>
    <x v="0"/>
    <n v="4"/>
    <n v="50"/>
    <n v="51.5"/>
    <n v="200"/>
    <x v="1"/>
    <n v="10"/>
    <x v="5"/>
    <n v="11"/>
    <x v="4"/>
    <n v="4"/>
    <n v="148.5"/>
    <n v="0.74250000000000005"/>
    <n v="1"/>
    <x v="0"/>
  </r>
  <r>
    <n v="245"/>
    <d v="2023-12-01T00:00:00"/>
    <d v="1899-12-30T21:41:00"/>
    <n v="75"/>
    <x v="0"/>
    <x v="35"/>
    <x v="0"/>
    <n v="3"/>
    <n v="30"/>
    <n v="36"/>
    <n v="90"/>
    <x v="1"/>
    <n v="12"/>
    <x v="2"/>
    <n v="1"/>
    <x v="3"/>
    <n v="4"/>
    <n v="54"/>
    <n v="0.6"/>
    <n v="0"/>
    <x v="0"/>
  </r>
  <r>
    <n v="296"/>
    <d v="2022-12-31T00:00:00"/>
    <d v="1899-12-30T22:44:00"/>
    <n v="73"/>
    <x v="1"/>
    <x v="30"/>
    <x v="0"/>
    <n v="4"/>
    <n v="300"/>
    <n v="369"/>
    <n v="1200"/>
    <x v="0"/>
    <n v="12"/>
    <x v="2"/>
    <n v="31"/>
    <x v="0"/>
    <n v="4"/>
    <n v="831"/>
    <n v="0.6925"/>
    <n v="1"/>
    <x v="0"/>
  </r>
  <r>
    <n v="644"/>
    <d v="2022-10-13T00:00:00"/>
    <d v="1899-12-30T21:49:00"/>
    <n v="107"/>
    <x v="0"/>
    <x v="8"/>
    <x v="1"/>
    <n v="3"/>
    <n v="25"/>
    <n v="29"/>
    <n v="75"/>
    <x v="0"/>
    <n v="10"/>
    <x v="5"/>
    <n v="13"/>
    <x v="2"/>
    <n v="4"/>
    <n v="46"/>
    <n v="0.61333333300000004"/>
    <n v="0"/>
    <x v="0"/>
  </r>
  <r>
    <n v="696"/>
    <d v="2023-10-09T00:00:00"/>
    <d v="1899-12-30T18:05:00"/>
    <n v="24"/>
    <x v="1"/>
    <x v="20"/>
    <x v="0"/>
    <n v="4"/>
    <n v="50"/>
    <n v="48.5"/>
    <n v="200"/>
    <x v="1"/>
    <n v="10"/>
    <x v="5"/>
    <n v="9"/>
    <x v="1"/>
    <n v="4"/>
    <n v="151.5"/>
    <n v="0.75749999999999995"/>
    <n v="1"/>
    <x v="0"/>
  </r>
  <r>
    <n v="1194"/>
    <d v="2023-10-09T00:00:00"/>
    <d v="1899-12-30T22:06:00"/>
    <n v="130"/>
    <x v="0"/>
    <x v="46"/>
    <x v="0"/>
    <n v="4"/>
    <n v="50"/>
    <n v="61.5"/>
    <n v="200"/>
    <x v="1"/>
    <n v="10"/>
    <x v="5"/>
    <n v="9"/>
    <x v="1"/>
    <n v="4"/>
    <n v="138.5"/>
    <n v="0.6925"/>
    <n v="1"/>
    <x v="0"/>
  </r>
  <r>
    <n v="1245"/>
    <d v="2022-10-25T00:00:00"/>
    <d v="1899-12-30T20:47:00"/>
    <n v="129"/>
    <x v="0"/>
    <x v="35"/>
    <x v="0"/>
    <n v="3"/>
    <n v="30"/>
    <n v="36"/>
    <n v="90"/>
    <x v="0"/>
    <n v="10"/>
    <x v="5"/>
    <n v="25"/>
    <x v="6"/>
    <n v="4"/>
    <n v="54"/>
    <n v="0.6"/>
    <n v="0"/>
    <x v="0"/>
  </r>
  <r>
    <n v="1296"/>
    <d v="2022-11-26T00:00:00"/>
    <d v="1899-12-30T20:42:00"/>
    <n v="45"/>
    <x v="1"/>
    <x v="30"/>
    <x v="0"/>
    <n v="4"/>
    <n v="300"/>
    <n v="342"/>
    <n v="1200"/>
    <x v="0"/>
    <n v="11"/>
    <x v="0"/>
    <n v="26"/>
    <x v="0"/>
    <n v="4"/>
    <n v="858"/>
    <n v="0.71499999999999997"/>
    <n v="1"/>
    <x v="0"/>
  </r>
  <r>
    <n v="1644"/>
    <d v="2022-09-11T00:00:00"/>
    <d v="1899-12-30T19:32:00"/>
    <n v="124"/>
    <x v="0"/>
    <x v="8"/>
    <x v="1"/>
    <n v="3"/>
    <n v="25"/>
    <n v="28.75"/>
    <n v="75"/>
    <x v="0"/>
    <n v="9"/>
    <x v="9"/>
    <n v="11"/>
    <x v="5"/>
    <n v="3"/>
    <n v="46.25"/>
    <n v="0.61666666699999995"/>
    <n v="0"/>
    <x v="1"/>
  </r>
  <r>
    <n v="1696"/>
    <d v="2022-11-21T00:00:00"/>
    <d v="1899-12-30T17:59:00"/>
    <n v="24"/>
    <x v="1"/>
    <x v="20"/>
    <x v="0"/>
    <n v="4"/>
    <n v="50"/>
    <n v="55"/>
    <n v="200"/>
    <x v="0"/>
    <n v="11"/>
    <x v="0"/>
    <n v="21"/>
    <x v="1"/>
    <n v="4"/>
    <n v="145"/>
    <n v="0.72499999999999998"/>
    <n v="1"/>
    <x v="0"/>
  </r>
  <r>
    <n v="312"/>
    <d v="2022-10-31T00:00:00"/>
    <d v="1899-12-30T18:08:00"/>
    <n v="18"/>
    <x v="0"/>
    <x v="0"/>
    <x v="0"/>
    <n v="4"/>
    <n v="30"/>
    <n v="28.5"/>
    <n v="120"/>
    <x v="0"/>
    <n v="10"/>
    <x v="5"/>
    <n v="31"/>
    <x v="1"/>
    <n v="4"/>
    <n v="91.5"/>
    <n v="0.76249999999999996"/>
    <n v="0"/>
    <x v="0"/>
  </r>
  <r>
    <n v="692"/>
    <d v="2022-09-30T00:00:00"/>
    <d v="1899-12-30T19:48:00"/>
    <n v="110"/>
    <x v="1"/>
    <x v="3"/>
    <x v="0"/>
    <n v="2"/>
    <n v="50"/>
    <n v="49.5"/>
    <n v="100"/>
    <x v="0"/>
    <n v="9"/>
    <x v="9"/>
    <n v="30"/>
    <x v="3"/>
    <n v="3"/>
    <n v="50.5"/>
    <n v="0.505"/>
    <n v="0"/>
    <x v="1"/>
  </r>
  <r>
    <n v="835"/>
    <d v="2022-09-30T00:00:00"/>
    <d v="1899-12-30T23:00:00"/>
    <n v="49"/>
    <x v="0"/>
    <x v="5"/>
    <x v="0"/>
    <n v="4"/>
    <n v="50"/>
    <n v="60"/>
    <n v="200"/>
    <x v="0"/>
    <n v="9"/>
    <x v="9"/>
    <n v="30"/>
    <x v="3"/>
    <n v="3"/>
    <n v="140"/>
    <n v="0.7"/>
    <n v="1"/>
    <x v="1"/>
  </r>
  <r>
    <n v="1312"/>
    <d v="2022-12-03T00:00:00"/>
    <d v="1899-12-30T17:28:00"/>
    <n v="73"/>
    <x v="0"/>
    <x v="0"/>
    <x v="0"/>
    <n v="4"/>
    <n v="30"/>
    <n v="29.1"/>
    <n v="120"/>
    <x v="0"/>
    <n v="12"/>
    <x v="2"/>
    <n v="3"/>
    <x v="0"/>
    <n v="4"/>
    <n v="90.9"/>
    <n v="0.75749999999999995"/>
    <n v="0"/>
    <x v="0"/>
  </r>
  <r>
    <n v="1692"/>
    <d v="2023-10-11T00:00:00"/>
    <d v="1899-12-30T19:50:00"/>
    <n v="103"/>
    <x v="1"/>
    <x v="3"/>
    <x v="0"/>
    <n v="2"/>
    <n v="50"/>
    <n v="59.5"/>
    <n v="100"/>
    <x v="1"/>
    <n v="10"/>
    <x v="5"/>
    <n v="11"/>
    <x v="4"/>
    <n v="4"/>
    <n v="40.5"/>
    <n v="0.40500000000000003"/>
    <n v="0"/>
    <x v="0"/>
  </r>
  <r>
    <n v="1835"/>
    <d v="2022-09-18T00:00:00"/>
    <d v="1899-12-30T20:58:00"/>
    <n v="98"/>
    <x v="0"/>
    <x v="5"/>
    <x v="0"/>
    <n v="4"/>
    <n v="50"/>
    <n v="49.5"/>
    <n v="200"/>
    <x v="0"/>
    <n v="9"/>
    <x v="9"/>
    <n v="18"/>
    <x v="5"/>
    <n v="3"/>
    <n v="150.5"/>
    <n v="0.75249999999999995"/>
    <n v="1"/>
    <x v="1"/>
  </r>
  <r>
    <n v="183"/>
    <d v="2022-09-01T00:00:00"/>
    <d v="1899-12-30T19:22:00"/>
    <n v="28"/>
    <x v="1"/>
    <x v="22"/>
    <x v="1"/>
    <n v="3"/>
    <n v="300"/>
    <n v="375"/>
    <n v="900"/>
    <x v="0"/>
    <n v="9"/>
    <x v="9"/>
    <n v="1"/>
    <x v="2"/>
    <n v="3"/>
    <n v="525"/>
    <n v="0.58333333300000001"/>
    <n v="1"/>
    <x v="1"/>
  </r>
  <r>
    <n v="413"/>
    <d v="2023-11-28T00:00:00"/>
    <d v="1899-12-30T21:52:00"/>
    <n v="60"/>
    <x v="1"/>
    <x v="47"/>
    <x v="1"/>
    <n v="3"/>
    <n v="25"/>
    <n v="25.5"/>
    <n v="75"/>
    <x v="1"/>
    <n v="11"/>
    <x v="0"/>
    <n v="28"/>
    <x v="6"/>
    <n v="4"/>
    <n v="49.5"/>
    <n v="0.66"/>
    <n v="0"/>
    <x v="0"/>
  </r>
  <r>
    <n v="799"/>
    <d v="2023-10-01T00:00:00"/>
    <d v="1899-12-30T19:44:00"/>
    <n v="86"/>
    <x v="0"/>
    <x v="34"/>
    <x v="2"/>
    <n v="2"/>
    <n v="50"/>
    <n v="60"/>
    <n v="100"/>
    <x v="1"/>
    <n v="10"/>
    <x v="5"/>
    <n v="1"/>
    <x v="5"/>
    <n v="4"/>
    <n v="40"/>
    <n v="0.4"/>
    <n v="0"/>
    <x v="0"/>
  </r>
  <r>
    <n v="851"/>
    <d v="2023-11-30T00:00:00"/>
    <d v="1899-12-30T17:23:00"/>
    <n v="30"/>
    <x v="0"/>
    <x v="37"/>
    <x v="2"/>
    <n v="2"/>
    <n v="25"/>
    <n v="27.75"/>
    <n v="50"/>
    <x v="1"/>
    <n v="11"/>
    <x v="0"/>
    <n v="30"/>
    <x v="2"/>
    <n v="4"/>
    <n v="22.25"/>
    <n v="0.44500000000000001"/>
    <n v="0"/>
    <x v="0"/>
  </r>
  <r>
    <n v="1183"/>
    <d v="2022-12-28T00:00:00"/>
    <d v="1899-12-30T17:10:00"/>
    <n v="54"/>
    <x v="1"/>
    <x v="22"/>
    <x v="1"/>
    <n v="3"/>
    <n v="300"/>
    <n v="342"/>
    <n v="900"/>
    <x v="0"/>
    <n v="12"/>
    <x v="2"/>
    <n v="28"/>
    <x v="4"/>
    <n v="4"/>
    <n v="558"/>
    <n v="0.62"/>
    <n v="1"/>
    <x v="0"/>
  </r>
  <r>
    <n v="1413"/>
    <d v="2023-11-12T00:00:00"/>
    <d v="1899-12-30T19:33:00"/>
    <n v="104"/>
    <x v="1"/>
    <x v="47"/>
    <x v="1"/>
    <n v="3"/>
    <n v="25"/>
    <n v="30.75"/>
    <n v="75"/>
    <x v="1"/>
    <n v="11"/>
    <x v="0"/>
    <n v="12"/>
    <x v="5"/>
    <n v="4"/>
    <n v="44.25"/>
    <n v="0.59"/>
    <n v="0"/>
    <x v="0"/>
  </r>
  <r>
    <n v="1799"/>
    <d v="2023-10-01T00:00:00"/>
    <d v="1899-12-30T19:09:00"/>
    <n v="132"/>
    <x v="0"/>
    <x v="34"/>
    <x v="2"/>
    <n v="2"/>
    <n v="50"/>
    <n v="51"/>
    <n v="100"/>
    <x v="1"/>
    <n v="10"/>
    <x v="5"/>
    <n v="1"/>
    <x v="5"/>
    <n v="4"/>
    <n v="49"/>
    <n v="0.49"/>
    <n v="0"/>
    <x v="0"/>
  </r>
  <r>
    <n v="1851"/>
    <d v="2022-09-10T00:00:00"/>
    <d v="1899-12-30T21:36:00"/>
    <n v="87"/>
    <x v="0"/>
    <x v="37"/>
    <x v="2"/>
    <n v="2"/>
    <n v="25"/>
    <n v="25"/>
    <n v="50"/>
    <x v="0"/>
    <n v="9"/>
    <x v="9"/>
    <n v="10"/>
    <x v="0"/>
    <n v="3"/>
    <n v="25"/>
    <n v="0.5"/>
    <n v="0"/>
    <x v="1"/>
  </r>
  <r>
    <n v="858"/>
    <d v="2023-09-08T00:00:00"/>
    <d v="1899-12-30T18:48:00"/>
    <n v="85"/>
    <x v="0"/>
    <x v="8"/>
    <x v="2"/>
    <n v="2"/>
    <n v="50"/>
    <n v="50.5"/>
    <n v="100"/>
    <x v="1"/>
    <n v="9"/>
    <x v="9"/>
    <n v="8"/>
    <x v="3"/>
    <n v="3"/>
    <n v="49.5"/>
    <n v="0.495"/>
    <n v="0"/>
    <x v="1"/>
  </r>
  <r>
    <n v="919"/>
    <d v="2023-10-28T00:00:00"/>
    <d v="1899-12-30T21:13:00"/>
    <n v="82"/>
    <x v="1"/>
    <x v="30"/>
    <x v="1"/>
    <n v="2"/>
    <n v="25"/>
    <n v="27.75"/>
    <n v="50"/>
    <x v="1"/>
    <n v="10"/>
    <x v="5"/>
    <n v="28"/>
    <x v="0"/>
    <n v="4"/>
    <n v="22.25"/>
    <n v="0.44500000000000001"/>
    <n v="0"/>
    <x v="0"/>
  </r>
  <r>
    <n v="935"/>
    <d v="2022-09-10T00:00:00"/>
    <d v="1899-12-30T21:16:00"/>
    <n v="2"/>
    <x v="1"/>
    <x v="23"/>
    <x v="1"/>
    <n v="1"/>
    <n v="50"/>
    <n v="55.5"/>
    <n v="50"/>
    <x v="0"/>
    <n v="9"/>
    <x v="9"/>
    <n v="10"/>
    <x v="0"/>
    <n v="3"/>
    <n v="-5.5"/>
    <n v="-0.11"/>
    <n v="0"/>
    <x v="1"/>
  </r>
  <r>
    <n v="1858"/>
    <d v="2023-09-14T00:00:00"/>
    <d v="1899-12-30T20:47:00"/>
    <n v="49"/>
    <x v="0"/>
    <x v="8"/>
    <x v="2"/>
    <n v="2"/>
    <n v="50"/>
    <n v="52"/>
    <n v="100"/>
    <x v="1"/>
    <n v="9"/>
    <x v="9"/>
    <n v="14"/>
    <x v="2"/>
    <n v="3"/>
    <n v="48"/>
    <n v="0.48"/>
    <n v="0"/>
    <x v="1"/>
  </r>
  <r>
    <n v="1919"/>
    <d v="2022-10-25T00:00:00"/>
    <d v="1899-12-30T17:54:00"/>
    <n v="78"/>
    <x v="1"/>
    <x v="30"/>
    <x v="1"/>
    <n v="2"/>
    <n v="25"/>
    <n v="26.5"/>
    <n v="50"/>
    <x v="0"/>
    <n v="10"/>
    <x v="5"/>
    <n v="25"/>
    <x v="6"/>
    <n v="4"/>
    <n v="23.5"/>
    <n v="0.47"/>
    <n v="0"/>
    <x v="0"/>
  </r>
  <r>
    <n v="1935"/>
    <d v="2022-12-16T00:00:00"/>
    <d v="1899-12-30T22:40:00"/>
    <n v="96"/>
    <x v="1"/>
    <x v="23"/>
    <x v="1"/>
    <n v="1"/>
    <n v="50"/>
    <n v="47.5"/>
    <n v="50"/>
    <x v="0"/>
    <n v="12"/>
    <x v="2"/>
    <n v="16"/>
    <x v="3"/>
    <n v="4"/>
    <n v="2.5"/>
    <n v="0.05"/>
    <n v="0"/>
    <x v="0"/>
  </r>
  <r>
    <n v="132"/>
    <d v="2023-11-22T00:00:00"/>
    <d v="1899-12-30T20:34:00"/>
    <n v="86"/>
    <x v="0"/>
    <x v="25"/>
    <x v="2"/>
    <n v="4"/>
    <n v="50"/>
    <n v="62"/>
    <n v="200"/>
    <x v="1"/>
    <n v="11"/>
    <x v="0"/>
    <n v="22"/>
    <x v="4"/>
    <n v="4"/>
    <n v="138"/>
    <n v="0.69"/>
    <n v="1"/>
    <x v="0"/>
  </r>
  <r>
    <n v="1132"/>
    <d v="2023-11-07T00:00:00"/>
    <d v="1899-12-30T17:27:00"/>
    <n v="14"/>
    <x v="0"/>
    <x v="25"/>
    <x v="2"/>
    <n v="4"/>
    <n v="50"/>
    <n v="59"/>
    <n v="200"/>
    <x v="1"/>
    <n v="11"/>
    <x v="0"/>
    <n v="7"/>
    <x v="6"/>
    <n v="4"/>
    <n v="141"/>
    <n v="0.70499999999999996"/>
    <n v="1"/>
    <x v="0"/>
  </r>
  <r>
    <n v="604"/>
    <d v="2022-09-16T00:00:00"/>
    <d v="1899-12-30T19:34:00"/>
    <n v="139"/>
    <x v="1"/>
    <x v="33"/>
    <x v="2"/>
    <n v="4"/>
    <n v="50"/>
    <n v="50.5"/>
    <n v="200"/>
    <x v="0"/>
    <n v="9"/>
    <x v="9"/>
    <n v="16"/>
    <x v="3"/>
    <n v="3"/>
    <n v="149.5"/>
    <n v="0.74750000000000005"/>
    <n v="1"/>
    <x v="1"/>
  </r>
  <r>
    <n v="832"/>
    <d v="2022-11-13T00:00:00"/>
    <d v="1899-12-30T17:25:00"/>
    <n v="106"/>
    <x v="0"/>
    <x v="35"/>
    <x v="1"/>
    <n v="4"/>
    <n v="500"/>
    <n v="600"/>
    <n v="2000"/>
    <x v="0"/>
    <n v="11"/>
    <x v="0"/>
    <n v="13"/>
    <x v="5"/>
    <n v="4"/>
    <n v="1400"/>
    <n v="0.7"/>
    <n v="1"/>
    <x v="0"/>
  </r>
  <r>
    <n v="1604"/>
    <d v="2022-12-29T00:00:00"/>
    <d v="1899-12-30T18:43:00"/>
    <n v="2"/>
    <x v="1"/>
    <x v="33"/>
    <x v="2"/>
    <n v="4"/>
    <n v="50"/>
    <n v="56"/>
    <n v="200"/>
    <x v="0"/>
    <n v="12"/>
    <x v="2"/>
    <n v="29"/>
    <x v="2"/>
    <n v="4"/>
    <n v="144"/>
    <n v="0.72"/>
    <n v="1"/>
    <x v="0"/>
  </r>
  <r>
    <n v="1832"/>
    <d v="2023-11-10T00:00:00"/>
    <d v="1899-12-30T21:17:00"/>
    <n v="57"/>
    <x v="0"/>
    <x v="35"/>
    <x v="1"/>
    <n v="4"/>
    <n v="500"/>
    <n v="480"/>
    <n v="2000"/>
    <x v="1"/>
    <n v="11"/>
    <x v="0"/>
    <n v="10"/>
    <x v="3"/>
    <n v="4"/>
    <n v="1520"/>
    <n v="0.76"/>
    <n v="1"/>
    <x v="0"/>
  </r>
  <r>
    <n v="113"/>
    <d v="2022-10-08T00:00:00"/>
    <d v="1899-12-30T19:14:00"/>
    <n v="72"/>
    <x v="1"/>
    <x v="0"/>
    <x v="2"/>
    <n v="2"/>
    <n v="25"/>
    <n v="26.25"/>
    <n v="50"/>
    <x v="0"/>
    <n v="10"/>
    <x v="5"/>
    <n v="8"/>
    <x v="0"/>
    <n v="4"/>
    <n v="23.75"/>
    <n v="0.47499999999999998"/>
    <n v="0"/>
    <x v="0"/>
  </r>
  <r>
    <n v="1113"/>
    <d v="2023-12-08T00:00:00"/>
    <d v="1899-12-30T17:41:00"/>
    <n v="141"/>
    <x v="1"/>
    <x v="0"/>
    <x v="2"/>
    <n v="2"/>
    <n v="25"/>
    <n v="27.75"/>
    <n v="50"/>
    <x v="1"/>
    <n v="12"/>
    <x v="2"/>
    <n v="8"/>
    <x v="3"/>
    <n v="4"/>
    <n v="22.25"/>
    <n v="0.44500000000000001"/>
    <n v="0"/>
    <x v="0"/>
  </r>
  <r>
    <n v="165"/>
    <d v="2022-09-24T00:00:00"/>
    <d v="1899-12-30T19:01:00"/>
    <n v="75"/>
    <x v="1"/>
    <x v="13"/>
    <x v="0"/>
    <n v="4"/>
    <n v="300"/>
    <n v="318"/>
    <n v="1200"/>
    <x v="0"/>
    <n v="9"/>
    <x v="9"/>
    <n v="24"/>
    <x v="0"/>
    <n v="3"/>
    <n v="882"/>
    <n v="0.73499999999999999"/>
    <n v="1"/>
    <x v="1"/>
  </r>
  <r>
    <n v="1165"/>
    <d v="2023-12-01T00:00:00"/>
    <d v="1899-12-30T17:04:00"/>
    <n v="29"/>
    <x v="1"/>
    <x v="13"/>
    <x v="0"/>
    <n v="4"/>
    <n v="300"/>
    <n v="291"/>
    <n v="1200"/>
    <x v="1"/>
    <n v="12"/>
    <x v="2"/>
    <n v="1"/>
    <x v="3"/>
    <n v="4"/>
    <n v="909"/>
    <n v="0.75749999999999995"/>
    <n v="1"/>
    <x v="0"/>
  </r>
  <r>
    <n v="326"/>
    <d v="2023-11-23T00:00:00"/>
    <d v="1899-12-30T19:51:00"/>
    <n v="108"/>
    <x v="1"/>
    <x v="18"/>
    <x v="0"/>
    <n v="3"/>
    <n v="25"/>
    <n v="24.25"/>
    <n v="75"/>
    <x v="1"/>
    <n v="11"/>
    <x v="0"/>
    <n v="23"/>
    <x v="2"/>
    <n v="4"/>
    <n v="50.75"/>
    <n v="0.676666667"/>
    <n v="0"/>
    <x v="0"/>
  </r>
  <r>
    <n v="1326"/>
    <d v="2023-09-01T00:00:00"/>
    <d v="1899-12-30T22:35:00"/>
    <n v="66"/>
    <x v="1"/>
    <x v="18"/>
    <x v="0"/>
    <n v="3"/>
    <n v="25"/>
    <n v="28.75"/>
    <n v="75"/>
    <x v="1"/>
    <n v="9"/>
    <x v="9"/>
    <n v="1"/>
    <x v="3"/>
    <n v="3"/>
    <n v="46.25"/>
    <n v="0.61666666699999995"/>
    <n v="0"/>
    <x v="1"/>
  </r>
  <r>
    <n v="19"/>
    <d v="2023-11-26T00:00:00"/>
    <d v="1899-12-30T19:39:00"/>
    <n v="30"/>
    <x v="1"/>
    <x v="44"/>
    <x v="0"/>
    <n v="2"/>
    <n v="25"/>
    <n v="28.5"/>
    <n v="50"/>
    <x v="1"/>
    <n v="11"/>
    <x v="0"/>
    <n v="26"/>
    <x v="5"/>
    <n v="4"/>
    <n v="21.5"/>
    <n v="0.43"/>
    <n v="0"/>
    <x v="0"/>
  </r>
  <r>
    <n v="412"/>
    <d v="2022-09-04T00:00:00"/>
    <d v="1899-12-30T19:36:00"/>
    <n v="30"/>
    <x v="1"/>
    <x v="4"/>
    <x v="2"/>
    <n v="4"/>
    <n v="500"/>
    <n v="570"/>
    <n v="2000"/>
    <x v="0"/>
    <n v="9"/>
    <x v="9"/>
    <n v="4"/>
    <x v="5"/>
    <n v="3"/>
    <n v="1430"/>
    <n v="0.71499999999999997"/>
    <n v="1"/>
    <x v="1"/>
  </r>
  <r>
    <n v="632"/>
    <d v="2023-10-25T00:00:00"/>
    <d v="1899-12-30T20:13:00"/>
    <n v="78"/>
    <x v="1"/>
    <x v="6"/>
    <x v="2"/>
    <n v="4"/>
    <n v="25"/>
    <n v="24.75"/>
    <n v="100"/>
    <x v="1"/>
    <n v="10"/>
    <x v="5"/>
    <n v="25"/>
    <x v="4"/>
    <n v="4"/>
    <n v="75.25"/>
    <n v="0.75249999999999995"/>
    <n v="0"/>
    <x v="0"/>
  </r>
  <r>
    <n v="1019"/>
    <d v="2023-12-14T00:00:00"/>
    <d v="1899-12-30T21:22:00"/>
    <n v="56"/>
    <x v="1"/>
    <x v="44"/>
    <x v="0"/>
    <n v="2"/>
    <n v="25"/>
    <n v="25.75"/>
    <n v="50"/>
    <x v="1"/>
    <n v="12"/>
    <x v="2"/>
    <n v="14"/>
    <x v="2"/>
    <n v="4"/>
    <n v="24.25"/>
    <n v="0.48499999999999999"/>
    <n v="0"/>
    <x v="0"/>
  </r>
  <r>
    <n v="1412"/>
    <d v="2022-10-13T00:00:00"/>
    <d v="1899-12-30T19:59:00"/>
    <n v="75"/>
    <x v="1"/>
    <x v="4"/>
    <x v="2"/>
    <n v="4"/>
    <n v="500"/>
    <n v="615"/>
    <n v="2000"/>
    <x v="0"/>
    <n v="10"/>
    <x v="5"/>
    <n v="13"/>
    <x v="2"/>
    <n v="4"/>
    <n v="1385"/>
    <n v="0.6925"/>
    <n v="1"/>
    <x v="0"/>
  </r>
  <r>
    <n v="1632"/>
    <d v="2022-10-19T00:00:00"/>
    <d v="1899-12-30T18:16:00"/>
    <n v="29"/>
    <x v="1"/>
    <x v="6"/>
    <x v="2"/>
    <n v="4"/>
    <n v="25"/>
    <n v="24.75"/>
    <n v="100"/>
    <x v="0"/>
    <n v="10"/>
    <x v="5"/>
    <n v="19"/>
    <x v="4"/>
    <n v="4"/>
    <n v="75.25"/>
    <n v="0.75249999999999995"/>
    <n v="0"/>
    <x v="0"/>
  </r>
  <r>
    <n v="167"/>
    <d v="2023-09-21T00:00:00"/>
    <d v="1899-12-30T20:58:00"/>
    <n v="73"/>
    <x v="1"/>
    <x v="22"/>
    <x v="0"/>
    <n v="3"/>
    <n v="50"/>
    <n v="49"/>
    <n v="150"/>
    <x v="1"/>
    <n v="9"/>
    <x v="9"/>
    <n v="21"/>
    <x v="2"/>
    <n v="3"/>
    <n v="101"/>
    <n v="0.67333333299999998"/>
    <n v="1"/>
    <x v="1"/>
  </r>
  <r>
    <n v="172"/>
    <d v="2022-10-21T00:00:00"/>
    <d v="1899-12-30T18:09:00"/>
    <n v="52"/>
    <x v="0"/>
    <x v="37"/>
    <x v="1"/>
    <n v="2"/>
    <n v="25"/>
    <n v="28"/>
    <n v="50"/>
    <x v="0"/>
    <n v="10"/>
    <x v="5"/>
    <n v="21"/>
    <x v="3"/>
    <n v="4"/>
    <n v="22"/>
    <n v="0.44"/>
    <n v="0"/>
    <x v="0"/>
  </r>
  <r>
    <n v="375"/>
    <d v="2023-09-22T00:00:00"/>
    <d v="1899-12-30T17:32:00"/>
    <n v="25"/>
    <x v="0"/>
    <x v="37"/>
    <x v="0"/>
    <n v="1"/>
    <n v="50"/>
    <n v="52"/>
    <n v="50"/>
    <x v="1"/>
    <n v="9"/>
    <x v="9"/>
    <n v="22"/>
    <x v="3"/>
    <n v="3"/>
    <n v="-2"/>
    <n v="-0.04"/>
    <n v="0"/>
    <x v="1"/>
  </r>
  <r>
    <n v="538"/>
    <d v="2023-12-22T00:00:00"/>
    <d v="1899-12-30T18:20:00"/>
    <n v="102"/>
    <x v="0"/>
    <x v="18"/>
    <x v="0"/>
    <n v="3"/>
    <n v="50"/>
    <n v="56.5"/>
    <n v="150"/>
    <x v="1"/>
    <n v="12"/>
    <x v="2"/>
    <n v="22"/>
    <x v="3"/>
    <n v="4"/>
    <n v="93.5"/>
    <n v="0.62333333300000004"/>
    <n v="1"/>
    <x v="0"/>
  </r>
  <r>
    <n v="794"/>
    <d v="2022-11-02T00:00:00"/>
    <d v="1899-12-30T21:47:00"/>
    <n v="145"/>
    <x v="1"/>
    <x v="13"/>
    <x v="1"/>
    <n v="1"/>
    <n v="300"/>
    <n v="315"/>
    <n v="300"/>
    <x v="0"/>
    <n v="11"/>
    <x v="0"/>
    <n v="2"/>
    <x v="4"/>
    <n v="4"/>
    <n v="-15"/>
    <n v="-0.05"/>
    <n v="1"/>
    <x v="0"/>
  </r>
  <r>
    <n v="1167"/>
    <d v="2023-09-29T00:00:00"/>
    <d v="1899-12-30T21:21:00"/>
    <n v="9"/>
    <x v="1"/>
    <x v="22"/>
    <x v="0"/>
    <n v="3"/>
    <n v="50"/>
    <n v="54"/>
    <n v="150"/>
    <x v="1"/>
    <n v="9"/>
    <x v="9"/>
    <n v="29"/>
    <x v="3"/>
    <n v="3"/>
    <n v="96"/>
    <n v="0.64"/>
    <n v="1"/>
    <x v="1"/>
  </r>
  <r>
    <n v="1172"/>
    <d v="2022-10-19T00:00:00"/>
    <d v="1899-12-30T21:12:00"/>
    <n v="150"/>
    <x v="0"/>
    <x v="37"/>
    <x v="1"/>
    <n v="2"/>
    <n v="25"/>
    <n v="28.5"/>
    <n v="50"/>
    <x v="0"/>
    <n v="10"/>
    <x v="5"/>
    <n v="19"/>
    <x v="4"/>
    <n v="4"/>
    <n v="21.5"/>
    <n v="0.43"/>
    <n v="0"/>
    <x v="0"/>
  </r>
  <r>
    <n v="1375"/>
    <d v="2022-10-01T00:00:00"/>
    <d v="1899-12-30T17:50:00"/>
    <n v="79"/>
    <x v="0"/>
    <x v="37"/>
    <x v="0"/>
    <n v="1"/>
    <n v="50"/>
    <n v="59"/>
    <n v="50"/>
    <x v="0"/>
    <n v="10"/>
    <x v="5"/>
    <n v="1"/>
    <x v="0"/>
    <n v="4"/>
    <n v="-9"/>
    <n v="-0.18"/>
    <n v="0"/>
    <x v="0"/>
  </r>
  <r>
    <n v="1538"/>
    <d v="2022-09-12T00:00:00"/>
    <d v="1899-12-30T20:57:00"/>
    <n v="21"/>
    <x v="0"/>
    <x v="18"/>
    <x v="0"/>
    <n v="3"/>
    <n v="50"/>
    <n v="53.5"/>
    <n v="150"/>
    <x v="0"/>
    <n v="9"/>
    <x v="9"/>
    <n v="12"/>
    <x v="1"/>
    <n v="3"/>
    <n v="96.5"/>
    <n v="0.64333333299999995"/>
    <n v="1"/>
    <x v="1"/>
  </r>
  <r>
    <n v="1794"/>
    <d v="2022-12-22T00:00:00"/>
    <d v="1899-12-30T19:40:00"/>
    <n v="26"/>
    <x v="1"/>
    <x v="13"/>
    <x v="1"/>
    <n v="1"/>
    <n v="300"/>
    <n v="351"/>
    <n v="300"/>
    <x v="0"/>
    <n v="12"/>
    <x v="2"/>
    <n v="22"/>
    <x v="2"/>
    <n v="4"/>
    <n v="-51"/>
    <n v="-0.17"/>
    <n v="1"/>
    <x v="0"/>
  </r>
  <r>
    <n v="131"/>
    <d v="2023-09-29T00:00:00"/>
    <d v="1899-12-30T22:32:00"/>
    <n v="44"/>
    <x v="1"/>
    <x v="40"/>
    <x v="1"/>
    <n v="2"/>
    <n v="300"/>
    <n v="375"/>
    <n v="600"/>
    <x v="1"/>
    <n v="9"/>
    <x v="9"/>
    <n v="29"/>
    <x v="3"/>
    <n v="3"/>
    <n v="225"/>
    <n v="0.375"/>
    <n v="1"/>
    <x v="1"/>
  </r>
  <r>
    <n v="330"/>
    <d v="2022-10-11T00:00:00"/>
    <d v="1899-12-30T20:18:00"/>
    <n v="116"/>
    <x v="1"/>
    <x v="38"/>
    <x v="1"/>
    <n v="4"/>
    <n v="50"/>
    <n v="55"/>
    <n v="200"/>
    <x v="0"/>
    <n v="10"/>
    <x v="5"/>
    <n v="11"/>
    <x v="6"/>
    <n v="4"/>
    <n v="145"/>
    <n v="0.72499999999999998"/>
    <n v="1"/>
    <x v="0"/>
  </r>
  <r>
    <n v="494"/>
    <d v="2023-09-25T00:00:00"/>
    <d v="1899-12-30T20:18:00"/>
    <n v="140"/>
    <x v="1"/>
    <x v="25"/>
    <x v="1"/>
    <n v="4"/>
    <n v="50"/>
    <n v="58"/>
    <n v="200"/>
    <x v="1"/>
    <n v="9"/>
    <x v="9"/>
    <n v="25"/>
    <x v="1"/>
    <n v="3"/>
    <n v="142"/>
    <n v="0.71"/>
    <n v="1"/>
    <x v="1"/>
  </r>
  <r>
    <n v="1131"/>
    <d v="2022-12-31T00:00:00"/>
    <d v="1899-12-30T19:16:00"/>
    <n v="130"/>
    <x v="1"/>
    <x v="40"/>
    <x v="1"/>
    <n v="2"/>
    <n v="300"/>
    <n v="336"/>
    <n v="600"/>
    <x v="0"/>
    <n v="12"/>
    <x v="2"/>
    <n v="31"/>
    <x v="0"/>
    <n v="4"/>
    <n v="264"/>
    <n v="0.44"/>
    <n v="1"/>
    <x v="0"/>
  </r>
  <r>
    <n v="1330"/>
    <d v="2023-11-24T00:00:00"/>
    <d v="1899-12-30T17:49:00"/>
    <n v="20"/>
    <x v="1"/>
    <x v="38"/>
    <x v="1"/>
    <n v="4"/>
    <n v="50"/>
    <n v="48"/>
    <n v="200"/>
    <x v="1"/>
    <n v="11"/>
    <x v="0"/>
    <n v="24"/>
    <x v="3"/>
    <n v="4"/>
    <n v="152"/>
    <n v="0.76"/>
    <n v="1"/>
    <x v="0"/>
  </r>
  <r>
    <n v="1494"/>
    <d v="2022-10-23T00:00:00"/>
    <d v="1899-12-30T19:29:00"/>
    <n v="74"/>
    <x v="1"/>
    <x v="25"/>
    <x v="1"/>
    <n v="4"/>
    <n v="50"/>
    <n v="62.5"/>
    <n v="200"/>
    <x v="0"/>
    <n v="10"/>
    <x v="5"/>
    <n v="23"/>
    <x v="5"/>
    <n v="4"/>
    <n v="137.5"/>
    <n v="0.6875"/>
    <n v="1"/>
    <x v="0"/>
  </r>
  <r>
    <n v="513"/>
    <d v="2022-10-21T00:00:00"/>
    <d v="1899-12-30T18:31:00"/>
    <n v="85"/>
    <x v="0"/>
    <x v="24"/>
    <x v="2"/>
    <n v="4"/>
    <n v="25"/>
    <n v="24.5"/>
    <n v="100"/>
    <x v="0"/>
    <n v="10"/>
    <x v="5"/>
    <n v="21"/>
    <x v="3"/>
    <n v="4"/>
    <n v="75.5"/>
    <n v="0.755"/>
    <n v="0"/>
    <x v="0"/>
  </r>
  <r>
    <n v="573"/>
    <d v="2023-09-19T00:00:00"/>
    <d v="1899-12-30T22:59:00"/>
    <n v="78"/>
    <x v="0"/>
    <x v="28"/>
    <x v="1"/>
    <n v="2"/>
    <n v="30"/>
    <n v="36.299999999999997"/>
    <n v="60"/>
    <x v="1"/>
    <n v="9"/>
    <x v="9"/>
    <n v="19"/>
    <x v="6"/>
    <n v="3"/>
    <n v="23.7"/>
    <n v="0.39500000000000002"/>
    <n v="0"/>
    <x v="1"/>
  </r>
  <r>
    <n v="1513"/>
    <d v="2022-10-01T00:00:00"/>
    <d v="1899-12-30T21:47:00"/>
    <n v="19"/>
    <x v="0"/>
    <x v="24"/>
    <x v="2"/>
    <n v="4"/>
    <n v="25"/>
    <n v="31"/>
    <n v="100"/>
    <x v="0"/>
    <n v="10"/>
    <x v="5"/>
    <n v="1"/>
    <x v="0"/>
    <n v="4"/>
    <n v="69"/>
    <n v="0.69"/>
    <n v="0"/>
    <x v="0"/>
  </r>
  <r>
    <n v="1573"/>
    <d v="2022-10-13T00:00:00"/>
    <d v="1899-12-30T21:45:00"/>
    <n v="148"/>
    <x v="0"/>
    <x v="28"/>
    <x v="1"/>
    <n v="2"/>
    <n v="30"/>
    <n v="31.2"/>
    <n v="60"/>
    <x v="0"/>
    <n v="10"/>
    <x v="5"/>
    <n v="13"/>
    <x v="2"/>
    <n v="4"/>
    <n v="28.8"/>
    <n v="0.48"/>
    <n v="0"/>
    <x v="0"/>
  </r>
  <r>
    <n v="241"/>
    <d v="2023-12-19T00:00:00"/>
    <d v="1899-12-30T20:21:00"/>
    <n v="108"/>
    <x v="1"/>
    <x v="8"/>
    <x v="2"/>
    <n v="3"/>
    <n v="25"/>
    <n v="26.75"/>
    <n v="75"/>
    <x v="1"/>
    <n v="12"/>
    <x v="2"/>
    <n v="19"/>
    <x v="6"/>
    <n v="4"/>
    <n v="48.25"/>
    <n v="0.64333333299999995"/>
    <n v="0"/>
    <x v="0"/>
  </r>
  <r>
    <n v="579"/>
    <d v="2023-10-06T00:00:00"/>
    <d v="1899-12-30T17:43:00"/>
    <n v="41"/>
    <x v="1"/>
    <x v="9"/>
    <x v="2"/>
    <n v="1"/>
    <n v="30"/>
    <n v="36.6"/>
    <n v="30"/>
    <x v="1"/>
    <n v="10"/>
    <x v="5"/>
    <n v="6"/>
    <x v="3"/>
    <n v="4"/>
    <n v="-6.6"/>
    <n v="-0.22"/>
    <n v="0"/>
    <x v="0"/>
  </r>
  <r>
    <n v="1241"/>
    <d v="2023-09-10T00:00:00"/>
    <d v="1899-12-30T17:28:00"/>
    <n v="26"/>
    <x v="1"/>
    <x v="8"/>
    <x v="2"/>
    <n v="3"/>
    <n v="25"/>
    <n v="24.5"/>
    <n v="75"/>
    <x v="1"/>
    <n v="9"/>
    <x v="9"/>
    <n v="10"/>
    <x v="5"/>
    <n v="3"/>
    <n v="50.5"/>
    <n v="0.67333333299999998"/>
    <n v="0"/>
    <x v="1"/>
  </r>
  <r>
    <n v="1579"/>
    <d v="2023-09-28T00:00:00"/>
    <d v="1899-12-30T17:38:00"/>
    <n v="119"/>
    <x v="1"/>
    <x v="9"/>
    <x v="2"/>
    <n v="1"/>
    <n v="30"/>
    <n v="28.8"/>
    <n v="30"/>
    <x v="1"/>
    <n v="9"/>
    <x v="9"/>
    <n v="28"/>
    <x v="2"/>
    <n v="3"/>
    <n v="1.2"/>
    <n v="0.04"/>
    <n v="0"/>
    <x v="1"/>
  </r>
  <r>
    <n v="218"/>
    <d v="2022-11-24T00:00:00"/>
    <d v="1899-12-30T20:39:00"/>
    <n v="144"/>
    <x v="0"/>
    <x v="3"/>
    <x v="1"/>
    <n v="3"/>
    <n v="30"/>
    <n v="33.9"/>
    <n v="90"/>
    <x v="0"/>
    <n v="11"/>
    <x v="0"/>
    <n v="24"/>
    <x v="2"/>
    <n v="4"/>
    <n v="56.1"/>
    <n v="0.62333333300000004"/>
    <n v="0"/>
    <x v="0"/>
  </r>
  <r>
    <n v="846"/>
    <d v="2023-12-22T00:00:00"/>
    <d v="1899-12-30T18:46:00"/>
    <n v="13"/>
    <x v="0"/>
    <x v="25"/>
    <x v="1"/>
    <n v="1"/>
    <n v="50"/>
    <n v="59.5"/>
    <n v="50"/>
    <x v="1"/>
    <n v="12"/>
    <x v="2"/>
    <n v="22"/>
    <x v="3"/>
    <n v="4"/>
    <n v="-9.5"/>
    <n v="-0.19"/>
    <n v="0"/>
    <x v="0"/>
  </r>
  <r>
    <n v="1218"/>
    <d v="2023-10-25T00:00:00"/>
    <d v="1899-12-30T22:11:00"/>
    <n v="30"/>
    <x v="0"/>
    <x v="3"/>
    <x v="1"/>
    <n v="3"/>
    <n v="30"/>
    <n v="34.200000000000003"/>
    <n v="90"/>
    <x v="1"/>
    <n v="10"/>
    <x v="5"/>
    <n v="25"/>
    <x v="4"/>
    <n v="4"/>
    <n v="55.8"/>
    <n v="0.62"/>
    <n v="0"/>
    <x v="0"/>
  </r>
  <r>
    <n v="1846"/>
    <d v="2023-11-16T00:00:00"/>
    <d v="1899-12-30T17:51:00"/>
    <n v="83"/>
    <x v="0"/>
    <x v="25"/>
    <x v="1"/>
    <n v="1"/>
    <n v="50"/>
    <n v="49.5"/>
    <n v="50"/>
    <x v="1"/>
    <n v="11"/>
    <x v="0"/>
    <n v="16"/>
    <x v="2"/>
    <n v="4"/>
    <n v="0.5"/>
    <n v="0.01"/>
    <n v="0"/>
    <x v="0"/>
  </r>
  <r>
    <n v="616"/>
    <d v="2022-12-31T00:00:00"/>
    <d v="1899-12-30T19:18:00"/>
    <n v="122"/>
    <x v="0"/>
    <x v="0"/>
    <x v="0"/>
    <n v="2"/>
    <n v="50"/>
    <n v="49.5"/>
    <n v="100"/>
    <x v="0"/>
    <n v="12"/>
    <x v="2"/>
    <n v="31"/>
    <x v="0"/>
    <n v="4"/>
    <n v="50.5"/>
    <n v="0.505"/>
    <n v="0"/>
    <x v="0"/>
  </r>
  <r>
    <n v="1616"/>
    <d v="2022-09-22T00:00:00"/>
    <d v="1899-12-30T18:41:00"/>
    <n v="121"/>
    <x v="0"/>
    <x v="0"/>
    <x v="0"/>
    <n v="2"/>
    <n v="50"/>
    <n v="59"/>
    <n v="100"/>
    <x v="0"/>
    <n v="9"/>
    <x v="9"/>
    <n v="22"/>
    <x v="2"/>
    <n v="3"/>
    <n v="41"/>
    <n v="0.41"/>
    <n v="0"/>
    <x v="1"/>
  </r>
  <r>
    <n v="523"/>
    <d v="2023-11-13T00:00:00"/>
    <d v="1899-12-30T19:18:00"/>
    <n v="110"/>
    <x v="1"/>
    <x v="44"/>
    <x v="2"/>
    <n v="1"/>
    <n v="300"/>
    <n v="375"/>
    <n v="300"/>
    <x v="1"/>
    <n v="11"/>
    <x v="0"/>
    <n v="13"/>
    <x v="1"/>
    <n v="4"/>
    <n v="-75"/>
    <n v="-0.25"/>
    <n v="1"/>
    <x v="0"/>
  </r>
  <r>
    <n v="643"/>
    <d v="2022-10-05T00:00:00"/>
    <d v="1899-12-30T22:26:00"/>
    <n v="63"/>
    <x v="1"/>
    <x v="32"/>
    <x v="2"/>
    <n v="3"/>
    <n v="30"/>
    <n v="28.8"/>
    <n v="90"/>
    <x v="0"/>
    <n v="10"/>
    <x v="5"/>
    <n v="5"/>
    <x v="4"/>
    <n v="4"/>
    <n v="61.2"/>
    <n v="0.68"/>
    <n v="0"/>
    <x v="0"/>
  </r>
  <r>
    <n v="1523"/>
    <d v="2023-12-31T00:00:00"/>
    <d v="1899-12-30T20:40:00"/>
    <n v="150"/>
    <x v="1"/>
    <x v="44"/>
    <x v="2"/>
    <n v="1"/>
    <n v="300"/>
    <n v="330"/>
    <n v="300"/>
    <x v="1"/>
    <n v="12"/>
    <x v="2"/>
    <n v="31"/>
    <x v="5"/>
    <n v="4"/>
    <n v="-30"/>
    <n v="-0.1"/>
    <n v="1"/>
    <x v="0"/>
  </r>
  <r>
    <n v="1643"/>
    <d v="2023-10-17T00:00:00"/>
    <d v="1899-12-30T21:47:00"/>
    <n v="12"/>
    <x v="1"/>
    <x v="32"/>
    <x v="2"/>
    <n v="3"/>
    <n v="30"/>
    <n v="33.299999999999997"/>
    <n v="90"/>
    <x v="1"/>
    <n v="10"/>
    <x v="5"/>
    <n v="17"/>
    <x v="6"/>
    <n v="4"/>
    <n v="56.7"/>
    <n v="0.63"/>
    <n v="0"/>
    <x v="0"/>
  </r>
  <r>
    <n v="351"/>
    <d v="2023-11-11T00:00:00"/>
    <d v="1899-12-30T22:16:00"/>
    <n v="38"/>
    <x v="1"/>
    <x v="34"/>
    <x v="0"/>
    <n v="3"/>
    <n v="30"/>
    <n v="36.6"/>
    <n v="90"/>
    <x v="1"/>
    <n v="11"/>
    <x v="0"/>
    <n v="11"/>
    <x v="0"/>
    <n v="4"/>
    <n v="53.4"/>
    <n v="0.59333333300000002"/>
    <n v="0"/>
    <x v="0"/>
  </r>
  <r>
    <n v="809"/>
    <d v="2022-12-14T00:00:00"/>
    <d v="1899-12-30T22:51:00"/>
    <n v="124"/>
    <x v="1"/>
    <x v="44"/>
    <x v="1"/>
    <n v="2"/>
    <n v="50"/>
    <n v="50"/>
    <n v="100"/>
    <x v="0"/>
    <n v="12"/>
    <x v="2"/>
    <n v="14"/>
    <x v="4"/>
    <n v="4"/>
    <n v="50"/>
    <n v="0.5"/>
    <n v="0"/>
    <x v="0"/>
  </r>
  <r>
    <n v="954"/>
    <d v="2023-09-05T00:00:00"/>
    <d v="1899-12-30T21:03:00"/>
    <n v="87"/>
    <x v="1"/>
    <x v="20"/>
    <x v="2"/>
    <n v="3"/>
    <n v="300"/>
    <n v="321"/>
    <n v="900"/>
    <x v="1"/>
    <n v="9"/>
    <x v="9"/>
    <n v="5"/>
    <x v="6"/>
    <n v="3"/>
    <n v="579"/>
    <n v="0.64333333299999995"/>
    <n v="1"/>
    <x v="1"/>
  </r>
  <r>
    <n v="1351"/>
    <d v="2022-10-02T00:00:00"/>
    <d v="1899-12-30T20:58:00"/>
    <n v="88"/>
    <x v="1"/>
    <x v="34"/>
    <x v="0"/>
    <n v="3"/>
    <n v="30"/>
    <n v="28.5"/>
    <n v="90"/>
    <x v="0"/>
    <n v="10"/>
    <x v="5"/>
    <n v="2"/>
    <x v="5"/>
    <n v="4"/>
    <n v="61.5"/>
    <n v="0.68333333299999999"/>
    <n v="0"/>
    <x v="0"/>
  </r>
  <r>
    <n v="1809"/>
    <d v="2023-10-16T00:00:00"/>
    <d v="1899-12-30T18:09:00"/>
    <n v="51"/>
    <x v="1"/>
    <x v="44"/>
    <x v="1"/>
    <n v="2"/>
    <n v="50"/>
    <n v="61.5"/>
    <n v="100"/>
    <x v="1"/>
    <n v="10"/>
    <x v="5"/>
    <n v="16"/>
    <x v="1"/>
    <n v="4"/>
    <n v="38.5"/>
    <n v="0.38500000000000001"/>
    <n v="0"/>
    <x v="0"/>
  </r>
  <r>
    <n v="1954"/>
    <d v="2023-10-29T00:00:00"/>
    <d v="1899-12-30T17:30:00"/>
    <n v="93"/>
    <x v="1"/>
    <x v="20"/>
    <x v="2"/>
    <n v="3"/>
    <n v="300"/>
    <n v="318"/>
    <n v="900"/>
    <x v="1"/>
    <n v="10"/>
    <x v="5"/>
    <n v="29"/>
    <x v="5"/>
    <n v="4"/>
    <n v="582"/>
    <n v="0.64666666699999997"/>
    <n v="1"/>
    <x v="0"/>
  </r>
  <r>
    <n v="897"/>
    <d v="2023-09-12T00:00:00"/>
    <d v="1899-12-30T17:53:00"/>
    <n v="15"/>
    <x v="1"/>
    <x v="3"/>
    <x v="2"/>
    <n v="2"/>
    <n v="50"/>
    <n v="51.5"/>
    <n v="100"/>
    <x v="1"/>
    <n v="9"/>
    <x v="9"/>
    <n v="12"/>
    <x v="6"/>
    <n v="3"/>
    <n v="48.5"/>
    <n v="0.48499999999999999"/>
    <n v="0"/>
    <x v="1"/>
  </r>
  <r>
    <n v="1897"/>
    <d v="2023-10-27T00:00:00"/>
    <d v="1899-12-30T17:12:00"/>
    <n v="137"/>
    <x v="1"/>
    <x v="3"/>
    <x v="2"/>
    <n v="2"/>
    <n v="50"/>
    <n v="62"/>
    <n v="100"/>
    <x v="1"/>
    <n v="10"/>
    <x v="5"/>
    <n v="27"/>
    <x v="3"/>
    <n v="4"/>
    <n v="38"/>
    <n v="0.38"/>
    <n v="0"/>
    <x v="0"/>
  </r>
  <r>
    <n v="147"/>
    <d v="2022-11-12T00:00:00"/>
    <d v="1899-12-30T20:30:00"/>
    <n v="101"/>
    <x v="0"/>
    <x v="8"/>
    <x v="2"/>
    <n v="1"/>
    <n v="300"/>
    <n v="297"/>
    <n v="300"/>
    <x v="0"/>
    <n v="11"/>
    <x v="0"/>
    <n v="12"/>
    <x v="0"/>
    <n v="4"/>
    <n v="3"/>
    <n v="0.01"/>
    <n v="1"/>
    <x v="0"/>
  </r>
  <r>
    <n v="204"/>
    <d v="2022-09-10T00:00:00"/>
    <d v="1899-12-30T21:04:00"/>
    <n v="101"/>
    <x v="0"/>
    <x v="27"/>
    <x v="1"/>
    <n v="1"/>
    <n v="25"/>
    <n v="31.25"/>
    <n v="25"/>
    <x v="0"/>
    <n v="9"/>
    <x v="9"/>
    <n v="10"/>
    <x v="0"/>
    <n v="3"/>
    <n v="-6.25"/>
    <n v="-0.25"/>
    <n v="0"/>
    <x v="1"/>
  </r>
  <r>
    <n v="390"/>
    <d v="2022-10-07T00:00:00"/>
    <d v="1899-12-30T20:53:00"/>
    <n v="88"/>
    <x v="0"/>
    <x v="27"/>
    <x v="2"/>
    <n v="2"/>
    <n v="50"/>
    <n v="51"/>
    <n v="100"/>
    <x v="0"/>
    <n v="10"/>
    <x v="5"/>
    <n v="7"/>
    <x v="3"/>
    <n v="4"/>
    <n v="49"/>
    <n v="0.49"/>
    <n v="0"/>
    <x v="0"/>
  </r>
  <r>
    <n v="1147"/>
    <d v="2023-11-25T00:00:00"/>
    <d v="1899-12-30T22:14:00"/>
    <n v="35"/>
    <x v="0"/>
    <x v="8"/>
    <x v="2"/>
    <n v="1"/>
    <n v="300"/>
    <n v="330"/>
    <n v="300"/>
    <x v="1"/>
    <n v="11"/>
    <x v="0"/>
    <n v="25"/>
    <x v="0"/>
    <n v="4"/>
    <n v="-30"/>
    <n v="-0.1"/>
    <n v="1"/>
    <x v="0"/>
  </r>
  <r>
    <n v="1204"/>
    <d v="2023-12-10T00:00:00"/>
    <d v="1899-12-30T19:24:00"/>
    <n v="72"/>
    <x v="0"/>
    <x v="27"/>
    <x v="1"/>
    <n v="1"/>
    <n v="25"/>
    <n v="27.5"/>
    <n v="25"/>
    <x v="1"/>
    <n v="12"/>
    <x v="2"/>
    <n v="10"/>
    <x v="5"/>
    <n v="4"/>
    <n v="-2.5"/>
    <n v="-0.1"/>
    <n v="0"/>
    <x v="0"/>
  </r>
  <r>
    <n v="1390"/>
    <d v="2022-10-24T00:00:00"/>
    <d v="1899-12-30T22:47:00"/>
    <n v="117"/>
    <x v="0"/>
    <x v="27"/>
    <x v="2"/>
    <n v="2"/>
    <n v="50"/>
    <n v="54"/>
    <n v="100"/>
    <x v="0"/>
    <n v="10"/>
    <x v="5"/>
    <n v="24"/>
    <x v="1"/>
    <n v="4"/>
    <n v="46"/>
    <n v="0.46"/>
    <n v="0"/>
    <x v="0"/>
  </r>
  <r>
    <n v="179"/>
    <d v="2023-10-07T00:00:00"/>
    <d v="1899-12-30T20:42:00"/>
    <n v="121"/>
    <x v="0"/>
    <x v="16"/>
    <x v="2"/>
    <n v="1"/>
    <n v="300"/>
    <n v="375"/>
    <n v="300"/>
    <x v="1"/>
    <n v="10"/>
    <x v="5"/>
    <n v="7"/>
    <x v="0"/>
    <n v="4"/>
    <n v="-75"/>
    <n v="-0.25"/>
    <n v="1"/>
    <x v="0"/>
  </r>
  <r>
    <n v="327"/>
    <d v="2023-09-13T00:00:00"/>
    <d v="1899-12-30T18:30:00"/>
    <n v="107"/>
    <x v="0"/>
    <x v="10"/>
    <x v="2"/>
    <n v="3"/>
    <n v="50"/>
    <n v="56"/>
    <n v="150"/>
    <x v="1"/>
    <n v="9"/>
    <x v="9"/>
    <n v="13"/>
    <x v="4"/>
    <n v="3"/>
    <n v="94"/>
    <n v="0.62666666699999996"/>
    <n v="1"/>
    <x v="1"/>
  </r>
  <r>
    <n v="626"/>
    <d v="2022-10-30T00:00:00"/>
    <d v="1899-12-30T21:01:00"/>
    <n v="65"/>
    <x v="1"/>
    <x v="6"/>
    <x v="0"/>
    <n v="4"/>
    <n v="500"/>
    <n v="555"/>
    <n v="2000"/>
    <x v="0"/>
    <n v="10"/>
    <x v="5"/>
    <n v="30"/>
    <x v="5"/>
    <n v="4"/>
    <n v="1445"/>
    <n v="0.72250000000000003"/>
    <n v="1"/>
    <x v="0"/>
  </r>
  <r>
    <n v="873"/>
    <d v="2023-12-06T00:00:00"/>
    <d v="1899-12-30T20:20:00"/>
    <n v="137"/>
    <x v="1"/>
    <x v="17"/>
    <x v="2"/>
    <n v="4"/>
    <n v="25"/>
    <n v="29"/>
    <n v="100"/>
    <x v="1"/>
    <n v="12"/>
    <x v="2"/>
    <n v="6"/>
    <x v="4"/>
    <n v="4"/>
    <n v="71"/>
    <n v="0.71"/>
    <n v="0"/>
    <x v="0"/>
  </r>
  <r>
    <n v="1179"/>
    <d v="2023-12-12T00:00:00"/>
    <d v="1899-12-30T17:28:00"/>
    <n v="122"/>
    <x v="0"/>
    <x v="16"/>
    <x v="2"/>
    <n v="1"/>
    <n v="300"/>
    <n v="354"/>
    <n v="300"/>
    <x v="1"/>
    <n v="12"/>
    <x v="2"/>
    <n v="12"/>
    <x v="6"/>
    <n v="4"/>
    <n v="-54"/>
    <n v="-0.18"/>
    <n v="1"/>
    <x v="0"/>
  </r>
  <r>
    <n v="1327"/>
    <d v="2023-12-23T00:00:00"/>
    <d v="1899-12-30T21:16:00"/>
    <n v="118"/>
    <x v="0"/>
    <x v="10"/>
    <x v="2"/>
    <n v="3"/>
    <n v="50"/>
    <n v="58"/>
    <n v="150"/>
    <x v="1"/>
    <n v="12"/>
    <x v="2"/>
    <n v="23"/>
    <x v="0"/>
    <n v="4"/>
    <n v="92"/>
    <n v="0.61333333300000004"/>
    <n v="1"/>
    <x v="0"/>
  </r>
  <r>
    <n v="1626"/>
    <d v="2022-10-10T00:00:00"/>
    <d v="1899-12-30T19:13:00"/>
    <n v="19"/>
    <x v="1"/>
    <x v="6"/>
    <x v="0"/>
    <n v="4"/>
    <n v="500"/>
    <n v="495"/>
    <n v="2000"/>
    <x v="0"/>
    <n v="10"/>
    <x v="5"/>
    <n v="10"/>
    <x v="1"/>
    <n v="4"/>
    <n v="1505"/>
    <n v="0.75249999999999995"/>
    <n v="1"/>
    <x v="0"/>
  </r>
  <r>
    <n v="1873"/>
    <d v="2022-11-24T00:00:00"/>
    <d v="1899-12-30T19:18:00"/>
    <n v="64"/>
    <x v="1"/>
    <x v="17"/>
    <x v="2"/>
    <n v="4"/>
    <n v="25"/>
    <n v="26.75"/>
    <n v="100"/>
    <x v="0"/>
    <n v="11"/>
    <x v="0"/>
    <n v="24"/>
    <x v="2"/>
    <n v="4"/>
    <n v="73.25"/>
    <n v="0.73250000000000004"/>
    <n v="0"/>
    <x v="0"/>
  </r>
  <r>
    <n v="196"/>
    <d v="2023-12-29T00:00:00"/>
    <d v="1899-12-30T19:14:00"/>
    <n v="43"/>
    <x v="1"/>
    <x v="37"/>
    <x v="0"/>
    <n v="3"/>
    <n v="300"/>
    <n v="312"/>
    <n v="900"/>
    <x v="1"/>
    <n v="12"/>
    <x v="2"/>
    <n v="29"/>
    <x v="3"/>
    <n v="4"/>
    <n v="588"/>
    <n v="0.65333333299999996"/>
    <n v="1"/>
    <x v="0"/>
  </r>
  <r>
    <n v="789"/>
    <d v="2023-12-06T00:00:00"/>
    <d v="1899-12-30T22:13:00"/>
    <n v="34"/>
    <x v="1"/>
    <x v="45"/>
    <x v="0"/>
    <n v="4"/>
    <n v="500"/>
    <n v="510"/>
    <n v="2000"/>
    <x v="1"/>
    <n v="12"/>
    <x v="2"/>
    <n v="6"/>
    <x v="4"/>
    <n v="4"/>
    <n v="1490"/>
    <n v="0.745"/>
    <n v="1"/>
    <x v="0"/>
  </r>
  <r>
    <n v="1196"/>
    <d v="2022-12-31T00:00:00"/>
    <d v="1899-12-30T21:18:00"/>
    <n v="93"/>
    <x v="1"/>
    <x v="37"/>
    <x v="0"/>
    <n v="3"/>
    <n v="300"/>
    <n v="306"/>
    <n v="900"/>
    <x v="0"/>
    <n v="12"/>
    <x v="2"/>
    <n v="31"/>
    <x v="0"/>
    <n v="4"/>
    <n v="594"/>
    <n v="0.66"/>
    <n v="1"/>
    <x v="0"/>
  </r>
  <r>
    <n v="1789"/>
    <d v="2023-11-10T00:00:00"/>
    <d v="1899-12-30T17:02:00"/>
    <n v="144"/>
    <x v="1"/>
    <x v="45"/>
    <x v="0"/>
    <n v="4"/>
    <n v="500"/>
    <n v="615"/>
    <n v="2000"/>
    <x v="1"/>
    <n v="11"/>
    <x v="0"/>
    <n v="10"/>
    <x v="3"/>
    <n v="4"/>
    <n v="1385"/>
    <n v="0.6925"/>
    <n v="1"/>
    <x v="0"/>
  </r>
  <r>
    <n v="89"/>
    <d v="2023-12-30T00:00:00"/>
    <d v="1899-12-30T21:15:00"/>
    <n v="117"/>
    <x v="1"/>
    <x v="46"/>
    <x v="2"/>
    <n v="4"/>
    <n v="500"/>
    <n v="590"/>
    <n v="2000"/>
    <x v="1"/>
    <n v="12"/>
    <x v="2"/>
    <n v="30"/>
    <x v="0"/>
    <n v="4"/>
    <n v="1410"/>
    <n v="0.70499999999999996"/>
    <n v="1"/>
    <x v="0"/>
  </r>
  <r>
    <n v="707"/>
    <d v="2023-10-23T00:00:00"/>
    <d v="1899-12-30T20:34:00"/>
    <n v="117"/>
    <x v="1"/>
    <x v="6"/>
    <x v="0"/>
    <n v="1"/>
    <n v="500"/>
    <n v="580"/>
    <n v="500"/>
    <x v="1"/>
    <n v="10"/>
    <x v="5"/>
    <n v="23"/>
    <x v="1"/>
    <n v="4"/>
    <n v="-80"/>
    <n v="-0.16"/>
    <n v="1"/>
    <x v="0"/>
  </r>
  <r>
    <n v="909"/>
    <d v="2023-10-29T00:00:00"/>
    <d v="1899-12-30T19:43:00"/>
    <n v="71"/>
    <x v="0"/>
    <x v="6"/>
    <x v="2"/>
    <n v="1"/>
    <n v="300"/>
    <n v="288"/>
    <n v="300"/>
    <x v="1"/>
    <n v="10"/>
    <x v="5"/>
    <n v="29"/>
    <x v="5"/>
    <n v="4"/>
    <n v="12"/>
    <n v="0.04"/>
    <n v="1"/>
    <x v="0"/>
  </r>
  <r>
    <n v="1089"/>
    <d v="2023-10-21T00:00:00"/>
    <d v="1899-12-30T18:44:00"/>
    <n v="108"/>
    <x v="1"/>
    <x v="46"/>
    <x v="2"/>
    <n v="4"/>
    <n v="500"/>
    <n v="555"/>
    <n v="2000"/>
    <x v="1"/>
    <n v="10"/>
    <x v="5"/>
    <n v="21"/>
    <x v="0"/>
    <n v="4"/>
    <n v="1445"/>
    <n v="0.72250000000000003"/>
    <n v="1"/>
    <x v="0"/>
  </r>
  <r>
    <n v="1707"/>
    <d v="2023-09-17T00:00:00"/>
    <d v="1899-12-30T18:35:00"/>
    <n v="144"/>
    <x v="1"/>
    <x v="6"/>
    <x v="0"/>
    <n v="1"/>
    <n v="500"/>
    <n v="535"/>
    <n v="500"/>
    <x v="1"/>
    <n v="9"/>
    <x v="9"/>
    <n v="17"/>
    <x v="5"/>
    <n v="3"/>
    <n v="-35"/>
    <n v="-7.0000000000000007E-2"/>
    <n v="1"/>
    <x v="1"/>
  </r>
  <r>
    <n v="1909"/>
    <d v="2022-10-22T00:00:00"/>
    <d v="1899-12-30T19:41:00"/>
    <n v="17"/>
    <x v="0"/>
    <x v="6"/>
    <x v="2"/>
    <n v="1"/>
    <n v="300"/>
    <n v="339"/>
    <n v="300"/>
    <x v="0"/>
    <n v="10"/>
    <x v="5"/>
    <n v="22"/>
    <x v="0"/>
    <n v="4"/>
    <n v="-39"/>
    <n v="-0.13"/>
    <n v="1"/>
    <x v="0"/>
  </r>
  <r>
    <n v="51"/>
    <d v="2022-10-12T00:00:00"/>
    <d v="1899-12-30T22:09:00"/>
    <n v="78"/>
    <x v="0"/>
    <x v="17"/>
    <x v="1"/>
    <n v="3"/>
    <n v="25"/>
    <n v="24.75"/>
    <n v="75"/>
    <x v="0"/>
    <n v="10"/>
    <x v="5"/>
    <n v="12"/>
    <x v="4"/>
    <n v="4"/>
    <n v="50.25"/>
    <n v="0.67"/>
    <n v="0"/>
    <x v="0"/>
  </r>
  <r>
    <n v="154"/>
    <d v="2022-12-24T00:00:00"/>
    <d v="1899-12-30T17:47:00"/>
    <n v="24"/>
    <x v="0"/>
    <x v="12"/>
    <x v="2"/>
    <n v="3"/>
    <n v="300"/>
    <n v="321"/>
    <n v="900"/>
    <x v="0"/>
    <n v="12"/>
    <x v="2"/>
    <n v="24"/>
    <x v="0"/>
    <n v="4"/>
    <n v="579"/>
    <n v="0.64333333299999995"/>
    <n v="1"/>
    <x v="0"/>
  </r>
  <r>
    <n v="276"/>
    <d v="2023-10-18T00:00:00"/>
    <d v="1899-12-30T21:27:00"/>
    <n v="40"/>
    <x v="1"/>
    <x v="40"/>
    <x v="1"/>
    <n v="4"/>
    <n v="25"/>
    <n v="27.5"/>
    <n v="100"/>
    <x v="1"/>
    <n v="10"/>
    <x v="5"/>
    <n v="18"/>
    <x v="4"/>
    <n v="4"/>
    <n v="72.5"/>
    <n v="0.72499999999999998"/>
    <n v="0"/>
    <x v="0"/>
  </r>
  <r>
    <n v="497"/>
    <d v="2023-12-31T00:00:00"/>
    <d v="1899-12-30T18:11:00"/>
    <n v="127"/>
    <x v="0"/>
    <x v="0"/>
    <x v="0"/>
    <n v="4"/>
    <n v="30"/>
    <n v="37.200000000000003"/>
    <n v="120"/>
    <x v="1"/>
    <n v="12"/>
    <x v="2"/>
    <n v="31"/>
    <x v="5"/>
    <n v="4"/>
    <n v="82.8"/>
    <n v="0.69"/>
    <n v="0"/>
    <x v="0"/>
  </r>
  <r>
    <n v="889"/>
    <d v="2023-09-20T00:00:00"/>
    <d v="1899-12-30T22:32:00"/>
    <n v="39"/>
    <x v="1"/>
    <x v="39"/>
    <x v="2"/>
    <n v="1"/>
    <n v="50"/>
    <n v="57.5"/>
    <n v="50"/>
    <x v="1"/>
    <n v="9"/>
    <x v="9"/>
    <n v="20"/>
    <x v="4"/>
    <n v="3"/>
    <n v="-7.5"/>
    <n v="-0.15"/>
    <n v="0"/>
    <x v="1"/>
  </r>
  <r>
    <n v="1051"/>
    <d v="2023-09-13T00:00:00"/>
    <d v="1899-12-30T17:47:00"/>
    <n v="104"/>
    <x v="0"/>
    <x v="17"/>
    <x v="1"/>
    <n v="3"/>
    <n v="25"/>
    <n v="25"/>
    <n v="75"/>
    <x v="1"/>
    <n v="9"/>
    <x v="9"/>
    <n v="13"/>
    <x v="4"/>
    <n v="3"/>
    <n v="50"/>
    <n v="0.66666666699999999"/>
    <n v="0"/>
    <x v="1"/>
  </r>
  <r>
    <n v="1154"/>
    <d v="2023-12-16T00:00:00"/>
    <d v="1899-12-30T21:44:00"/>
    <n v="29"/>
    <x v="0"/>
    <x v="12"/>
    <x v="2"/>
    <n v="3"/>
    <n v="300"/>
    <n v="291"/>
    <n v="900"/>
    <x v="1"/>
    <n v="12"/>
    <x v="2"/>
    <n v="16"/>
    <x v="0"/>
    <n v="4"/>
    <n v="609"/>
    <n v="0.676666667"/>
    <n v="1"/>
    <x v="0"/>
  </r>
  <r>
    <n v="1276"/>
    <d v="2022-10-11T00:00:00"/>
    <d v="1899-12-30T18:54:00"/>
    <n v="140"/>
    <x v="1"/>
    <x v="40"/>
    <x v="1"/>
    <n v="4"/>
    <n v="25"/>
    <n v="27"/>
    <n v="100"/>
    <x v="0"/>
    <n v="10"/>
    <x v="5"/>
    <n v="11"/>
    <x v="6"/>
    <n v="4"/>
    <n v="73"/>
    <n v="0.73"/>
    <n v="0"/>
    <x v="0"/>
  </r>
  <r>
    <n v="1497"/>
    <d v="2022-11-19T00:00:00"/>
    <d v="1899-12-30T21:44:00"/>
    <n v="109"/>
    <x v="0"/>
    <x v="0"/>
    <x v="0"/>
    <n v="4"/>
    <n v="30"/>
    <n v="32.4"/>
    <n v="120"/>
    <x v="0"/>
    <n v="11"/>
    <x v="0"/>
    <n v="19"/>
    <x v="0"/>
    <n v="4"/>
    <n v="87.6"/>
    <n v="0.73"/>
    <n v="0"/>
    <x v="0"/>
  </r>
  <r>
    <n v="1889"/>
    <d v="2022-09-02T00:00:00"/>
    <d v="1899-12-30T22:48:00"/>
    <n v="80"/>
    <x v="1"/>
    <x v="39"/>
    <x v="2"/>
    <n v="1"/>
    <n v="50"/>
    <n v="56"/>
    <n v="50"/>
    <x v="0"/>
    <n v="9"/>
    <x v="9"/>
    <n v="2"/>
    <x v="3"/>
    <n v="3"/>
    <n v="-6"/>
    <n v="-0.12"/>
    <n v="0"/>
    <x v="1"/>
  </r>
  <r>
    <n v="122"/>
    <d v="2023-12-01T00:00:00"/>
    <d v="1899-12-30T19:02:00"/>
    <n v="1"/>
    <x v="0"/>
    <x v="3"/>
    <x v="2"/>
    <n v="4"/>
    <n v="30"/>
    <n v="35.4"/>
    <n v="120"/>
    <x v="1"/>
    <n v="12"/>
    <x v="2"/>
    <n v="1"/>
    <x v="3"/>
    <n v="4"/>
    <n v="84.6"/>
    <n v="0.70499999999999996"/>
    <n v="0"/>
    <x v="0"/>
  </r>
  <r>
    <n v="373"/>
    <d v="2022-09-23T00:00:00"/>
    <d v="1899-12-30T22:19:00"/>
    <n v="78"/>
    <x v="1"/>
    <x v="38"/>
    <x v="1"/>
    <n v="2"/>
    <n v="300"/>
    <n v="333"/>
    <n v="600"/>
    <x v="0"/>
    <n v="9"/>
    <x v="9"/>
    <n v="23"/>
    <x v="3"/>
    <n v="3"/>
    <n v="267"/>
    <n v="0.44500000000000001"/>
    <n v="1"/>
    <x v="1"/>
  </r>
  <r>
    <n v="524"/>
    <d v="2023-09-17T00:00:00"/>
    <d v="1899-12-30T19:52:00"/>
    <n v="12"/>
    <x v="0"/>
    <x v="1"/>
    <x v="1"/>
    <n v="4"/>
    <n v="300"/>
    <n v="297"/>
    <n v="1200"/>
    <x v="1"/>
    <n v="9"/>
    <x v="9"/>
    <n v="17"/>
    <x v="5"/>
    <n v="3"/>
    <n v="903"/>
    <n v="0.75249999999999995"/>
    <n v="1"/>
    <x v="1"/>
  </r>
  <r>
    <n v="688"/>
    <d v="2023-10-28T00:00:00"/>
    <d v="1899-12-30T21:45:00"/>
    <n v="132"/>
    <x v="0"/>
    <x v="34"/>
    <x v="0"/>
    <n v="4"/>
    <n v="25"/>
    <n v="24.75"/>
    <n v="100"/>
    <x v="1"/>
    <n v="10"/>
    <x v="5"/>
    <n v="28"/>
    <x v="0"/>
    <n v="4"/>
    <n v="75.25"/>
    <n v="0.75249999999999995"/>
    <n v="0"/>
    <x v="0"/>
  </r>
  <r>
    <n v="813"/>
    <d v="2022-10-15T00:00:00"/>
    <d v="1899-12-30T19:51:00"/>
    <n v="125"/>
    <x v="0"/>
    <x v="41"/>
    <x v="2"/>
    <n v="3"/>
    <n v="50"/>
    <n v="62"/>
    <n v="150"/>
    <x v="0"/>
    <n v="10"/>
    <x v="5"/>
    <n v="15"/>
    <x v="0"/>
    <n v="4"/>
    <n v="88"/>
    <n v="0.58666666700000003"/>
    <n v="1"/>
    <x v="0"/>
  </r>
  <r>
    <n v="1122"/>
    <d v="2022-09-07T00:00:00"/>
    <d v="1899-12-30T19:53:00"/>
    <n v="138"/>
    <x v="0"/>
    <x v="3"/>
    <x v="2"/>
    <n v="4"/>
    <n v="30"/>
    <n v="31.8"/>
    <n v="120"/>
    <x v="0"/>
    <n v="9"/>
    <x v="9"/>
    <n v="7"/>
    <x v="4"/>
    <n v="3"/>
    <n v="88.2"/>
    <n v="0.73499999999999999"/>
    <n v="0"/>
    <x v="1"/>
  </r>
  <r>
    <n v="1373"/>
    <d v="2023-10-02T00:00:00"/>
    <d v="1899-12-30T20:26:00"/>
    <n v="64"/>
    <x v="1"/>
    <x v="38"/>
    <x v="1"/>
    <n v="2"/>
    <n v="300"/>
    <n v="294"/>
    <n v="600"/>
    <x v="1"/>
    <n v="10"/>
    <x v="5"/>
    <n v="2"/>
    <x v="1"/>
    <n v="4"/>
    <n v="306"/>
    <n v="0.51"/>
    <n v="1"/>
    <x v="0"/>
  </r>
  <r>
    <n v="1524"/>
    <d v="2022-10-26T00:00:00"/>
    <d v="1899-12-30T22:10:00"/>
    <n v="115"/>
    <x v="0"/>
    <x v="1"/>
    <x v="1"/>
    <n v="4"/>
    <n v="300"/>
    <n v="321"/>
    <n v="1200"/>
    <x v="0"/>
    <n v="10"/>
    <x v="5"/>
    <n v="26"/>
    <x v="4"/>
    <n v="4"/>
    <n v="879"/>
    <n v="0.73250000000000004"/>
    <n v="1"/>
    <x v="0"/>
  </r>
  <r>
    <n v="1688"/>
    <d v="2022-12-17T00:00:00"/>
    <d v="1899-12-30T17:25:00"/>
    <n v="150"/>
    <x v="0"/>
    <x v="34"/>
    <x v="0"/>
    <n v="4"/>
    <n v="25"/>
    <n v="26.5"/>
    <n v="100"/>
    <x v="0"/>
    <n v="12"/>
    <x v="2"/>
    <n v="17"/>
    <x v="0"/>
    <n v="4"/>
    <n v="73.5"/>
    <n v="0.73499999999999999"/>
    <n v="0"/>
    <x v="0"/>
  </r>
  <r>
    <n v="1813"/>
    <d v="2022-11-22T00:00:00"/>
    <d v="1899-12-30T22:24:00"/>
    <n v="86"/>
    <x v="0"/>
    <x v="41"/>
    <x v="2"/>
    <n v="3"/>
    <n v="50"/>
    <n v="61.5"/>
    <n v="150"/>
    <x v="0"/>
    <n v="11"/>
    <x v="0"/>
    <n v="22"/>
    <x v="6"/>
    <n v="4"/>
    <n v="88.5"/>
    <n v="0.59"/>
    <n v="1"/>
    <x v="0"/>
  </r>
  <r>
    <n v="178"/>
    <d v="2023-10-11T00:00:00"/>
    <d v="1899-12-30T17:51:00"/>
    <n v="142"/>
    <x v="0"/>
    <x v="2"/>
    <x v="0"/>
    <n v="2"/>
    <n v="30"/>
    <n v="34.200000000000003"/>
    <n v="60"/>
    <x v="1"/>
    <n v="10"/>
    <x v="5"/>
    <n v="11"/>
    <x v="4"/>
    <n v="4"/>
    <n v="25.8"/>
    <n v="0.43"/>
    <n v="0"/>
    <x v="0"/>
  </r>
  <r>
    <n v="208"/>
    <d v="2023-10-21T00:00:00"/>
    <d v="1899-12-30T20:56:00"/>
    <n v="144"/>
    <x v="1"/>
    <x v="23"/>
    <x v="2"/>
    <n v="4"/>
    <n v="50"/>
    <n v="57"/>
    <n v="200"/>
    <x v="1"/>
    <n v="10"/>
    <x v="5"/>
    <n v="21"/>
    <x v="0"/>
    <n v="4"/>
    <n v="143"/>
    <n v="0.71499999999999997"/>
    <n v="1"/>
    <x v="0"/>
  </r>
  <r>
    <n v="247"/>
    <d v="2022-12-23T00:00:00"/>
    <d v="1899-12-30T17:56:00"/>
    <n v="82"/>
    <x v="0"/>
    <x v="0"/>
    <x v="2"/>
    <n v="2"/>
    <n v="30"/>
    <n v="31.5"/>
    <n v="60"/>
    <x v="0"/>
    <n v="12"/>
    <x v="2"/>
    <n v="23"/>
    <x v="3"/>
    <n v="4"/>
    <n v="28.5"/>
    <n v="0.47499999999999998"/>
    <n v="0"/>
    <x v="0"/>
  </r>
  <r>
    <n v="290"/>
    <d v="2023-12-08T00:00:00"/>
    <d v="1899-12-30T21:39:00"/>
    <n v="86"/>
    <x v="1"/>
    <x v="7"/>
    <x v="1"/>
    <n v="2"/>
    <n v="300"/>
    <n v="342"/>
    <n v="600"/>
    <x v="1"/>
    <n v="12"/>
    <x v="2"/>
    <n v="8"/>
    <x v="3"/>
    <n v="4"/>
    <n v="258"/>
    <n v="0.43"/>
    <n v="1"/>
    <x v="0"/>
  </r>
  <r>
    <n v="656"/>
    <d v="2023-11-12T00:00:00"/>
    <d v="1899-12-30T20:58:00"/>
    <n v="27"/>
    <x v="0"/>
    <x v="33"/>
    <x v="1"/>
    <n v="3"/>
    <n v="30"/>
    <n v="29.4"/>
    <n v="90"/>
    <x v="1"/>
    <n v="11"/>
    <x v="0"/>
    <n v="12"/>
    <x v="5"/>
    <n v="4"/>
    <n v="60.6"/>
    <n v="0.67333333299999998"/>
    <n v="0"/>
    <x v="0"/>
  </r>
  <r>
    <n v="735"/>
    <d v="2022-11-26T00:00:00"/>
    <d v="1899-12-30T21:38:00"/>
    <n v="153"/>
    <x v="1"/>
    <x v="3"/>
    <x v="0"/>
    <n v="4"/>
    <n v="500"/>
    <n v="515"/>
    <n v="2000"/>
    <x v="0"/>
    <n v="11"/>
    <x v="0"/>
    <n v="26"/>
    <x v="0"/>
    <n v="4"/>
    <n v="1485"/>
    <n v="0.74250000000000005"/>
    <n v="1"/>
    <x v="0"/>
  </r>
  <r>
    <n v="1178"/>
    <d v="2023-12-29T00:00:00"/>
    <d v="1899-12-30T21:15:00"/>
    <n v="137"/>
    <x v="0"/>
    <x v="2"/>
    <x v="0"/>
    <n v="2"/>
    <n v="30"/>
    <n v="33"/>
    <n v="60"/>
    <x v="1"/>
    <n v="12"/>
    <x v="2"/>
    <n v="29"/>
    <x v="3"/>
    <n v="4"/>
    <n v="27"/>
    <n v="0.45"/>
    <n v="0"/>
    <x v="0"/>
  </r>
  <r>
    <n v="1208"/>
    <d v="2022-10-15T00:00:00"/>
    <d v="1899-12-30T17:44:00"/>
    <n v="9"/>
    <x v="1"/>
    <x v="23"/>
    <x v="2"/>
    <n v="4"/>
    <n v="50"/>
    <n v="47.5"/>
    <n v="200"/>
    <x v="0"/>
    <n v="10"/>
    <x v="5"/>
    <n v="15"/>
    <x v="0"/>
    <n v="4"/>
    <n v="152.5"/>
    <n v="0.76249999999999996"/>
    <n v="1"/>
    <x v="0"/>
  </r>
  <r>
    <n v="1247"/>
    <d v="2023-09-02T00:00:00"/>
    <d v="1899-12-30T18:17:00"/>
    <n v="78"/>
    <x v="0"/>
    <x v="0"/>
    <x v="2"/>
    <n v="2"/>
    <n v="30"/>
    <n v="35.700000000000003"/>
    <n v="60"/>
    <x v="1"/>
    <n v="9"/>
    <x v="9"/>
    <n v="2"/>
    <x v="0"/>
    <n v="3"/>
    <n v="24.3"/>
    <n v="0.40500000000000003"/>
    <n v="0"/>
    <x v="1"/>
  </r>
  <r>
    <n v="1290"/>
    <d v="2022-12-30T00:00:00"/>
    <d v="1899-12-30T22:40:00"/>
    <n v="66"/>
    <x v="1"/>
    <x v="7"/>
    <x v="1"/>
    <n v="2"/>
    <n v="300"/>
    <n v="318"/>
    <n v="600"/>
    <x v="0"/>
    <n v="12"/>
    <x v="2"/>
    <n v="30"/>
    <x v="3"/>
    <n v="4"/>
    <n v="282"/>
    <n v="0.47"/>
    <n v="1"/>
    <x v="0"/>
  </r>
  <r>
    <n v="1656"/>
    <d v="2023-09-16T00:00:00"/>
    <d v="1899-12-30T20:03:00"/>
    <n v="141"/>
    <x v="0"/>
    <x v="33"/>
    <x v="1"/>
    <n v="3"/>
    <n v="30"/>
    <n v="35.4"/>
    <n v="90"/>
    <x v="1"/>
    <n v="9"/>
    <x v="9"/>
    <n v="16"/>
    <x v="0"/>
    <n v="3"/>
    <n v="54.6"/>
    <n v="0.60666666700000005"/>
    <n v="0"/>
    <x v="1"/>
  </r>
  <r>
    <n v="1735"/>
    <d v="2023-09-05T00:00:00"/>
    <d v="1899-12-30T17:26:00"/>
    <n v="86"/>
    <x v="1"/>
    <x v="3"/>
    <x v="0"/>
    <n v="4"/>
    <n v="500"/>
    <n v="505"/>
    <n v="2000"/>
    <x v="1"/>
    <n v="9"/>
    <x v="9"/>
    <n v="5"/>
    <x v="6"/>
    <n v="3"/>
    <n v="1495"/>
    <n v="0.74750000000000005"/>
    <n v="1"/>
    <x v="1"/>
  </r>
  <r>
    <n v="319"/>
    <d v="2022-11-07T00:00:00"/>
    <d v="1899-12-30T18:50:00"/>
    <n v="145"/>
    <x v="0"/>
    <x v="16"/>
    <x v="0"/>
    <n v="1"/>
    <n v="500"/>
    <n v="500"/>
    <n v="500"/>
    <x v="0"/>
    <n v="11"/>
    <x v="0"/>
    <n v="7"/>
    <x v="1"/>
    <n v="4"/>
    <n v="0"/>
    <n v="0"/>
    <n v="1"/>
    <x v="0"/>
  </r>
  <r>
    <n v="670"/>
    <d v="2023-09-29T00:00:00"/>
    <d v="1899-12-30T17:24:00"/>
    <n v="59"/>
    <x v="0"/>
    <x v="17"/>
    <x v="1"/>
    <n v="1"/>
    <n v="30"/>
    <n v="35.700000000000003"/>
    <n v="30"/>
    <x v="1"/>
    <n v="9"/>
    <x v="9"/>
    <n v="29"/>
    <x v="3"/>
    <n v="3"/>
    <n v="-5.7"/>
    <n v="-0.19"/>
    <n v="0"/>
    <x v="1"/>
  </r>
  <r>
    <n v="1319"/>
    <d v="2023-11-25T00:00:00"/>
    <d v="1899-12-30T17:17:00"/>
    <n v="76"/>
    <x v="0"/>
    <x v="16"/>
    <x v="0"/>
    <n v="1"/>
    <n v="500"/>
    <n v="585"/>
    <n v="500"/>
    <x v="1"/>
    <n v="11"/>
    <x v="0"/>
    <n v="25"/>
    <x v="0"/>
    <n v="4"/>
    <n v="-85"/>
    <n v="-0.17"/>
    <n v="1"/>
    <x v="0"/>
  </r>
  <r>
    <n v="1670"/>
    <d v="2023-10-24T00:00:00"/>
    <d v="1899-12-30T21:32:00"/>
    <n v="58"/>
    <x v="0"/>
    <x v="17"/>
    <x v="1"/>
    <n v="1"/>
    <n v="30"/>
    <n v="34.200000000000003"/>
    <n v="30"/>
    <x v="1"/>
    <n v="10"/>
    <x v="5"/>
    <n v="24"/>
    <x v="6"/>
    <n v="4"/>
    <n v="-4.2"/>
    <n v="-0.14000000000000001"/>
    <n v="0"/>
    <x v="0"/>
  </r>
  <r>
    <n v="385"/>
    <d v="2022-11-20T00:00:00"/>
    <d v="1899-12-30T19:06:00"/>
    <n v="127"/>
    <x v="0"/>
    <x v="20"/>
    <x v="2"/>
    <n v="3"/>
    <n v="500"/>
    <n v="525"/>
    <n v="1500"/>
    <x v="0"/>
    <n v="11"/>
    <x v="0"/>
    <n v="20"/>
    <x v="5"/>
    <n v="4"/>
    <n v="975"/>
    <n v="0.65"/>
    <n v="1"/>
    <x v="0"/>
  </r>
  <r>
    <n v="1385"/>
    <d v="2023-11-07T00:00:00"/>
    <d v="1899-12-30T19:22:00"/>
    <n v="55"/>
    <x v="0"/>
    <x v="20"/>
    <x v="2"/>
    <n v="3"/>
    <n v="500"/>
    <n v="505"/>
    <n v="1500"/>
    <x v="1"/>
    <n v="11"/>
    <x v="0"/>
    <n v="7"/>
    <x v="6"/>
    <n v="4"/>
    <n v="995"/>
    <n v="0.66333333299999997"/>
    <n v="1"/>
    <x v="0"/>
  </r>
  <r>
    <n v="10"/>
    <d v="2022-10-24T00:00:00"/>
    <d v="1899-12-30T22:55:00"/>
    <n v="81"/>
    <x v="1"/>
    <x v="41"/>
    <x v="0"/>
    <n v="4"/>
    <n v="50"/>
    <n v="62.5"/>
    <n v="200"/>
    <x v="0"/>
    <n v="10"/>
    <x v="5"/>
    <n v="24"/>
    <x v="1"/>
    <n v="4"/>
    <n v="137.5"/>
    <n v="0.6875"/>
    <n v="1"/>
    <x v="0"/>
  </r>
  <r>
    <n v="26"/>
    <d v="2023-10-14T00:00:00"/>
    <d v="1899-12-30T17:54:00"/>
    <n v="51"/>
    <x v="1"/>
    <x v="32"/>
    <x v="2"/>
    <n v="2"/>
    <n v="500"/>
    <n v="600"/>
    <n v="1000"/>
    <x v="1"/>
    <n v="10"/>
    <x v="5"/>
    <n v="14"/>
    <x v="0"/>
    <n v="4"/>
    <n v="400"/>
    <n v="0.4"/>
    <n v="1"/>
    <x v="0"/>
  </r>
  <r>
    <n v="437"/>
    <d v="2023-11-26T00:00:00"/>
    <d v="1899-12-30T18:53:00"/>
    <n v="56"/>
    <x v="1"/>
    <x v="39"/>
    <x v="2"/>
    <n v="4"/>
    <n v="300"/>
    <n v="345"/>
    <n v="1200"/>
    <x v="1"/>
    <n v="11"/>
    <x v="0"/>
    <n v="26"/>
    <x v="5"/>
    <n v="4"/>
    <n v="855"/>
    <n v="0.71250000000000002"/>
    <n v="1"/>
    <x v="0"/>
  </r>
  <r>
    <n v="689"/>
    <d v="2022-10-16T00:00:00"/>
    <d v="1899-12-30T20:17:00"/>
    <n v="55"/>
    <x v="0"/>
    <x v="10"/>
    <x v="2"/>
    <n v="2"/>
    <n v="50"/>
    <n v="52.5"/>
    <n v="100"/>
    <x v="0"/>
    <n v="10"/>
    <x v="5"/>
    <n v="16"/>
    <x v="5"/>
    <n v="4"/>
    <n v="47.5"/>
    <n v="0.47499999999999998"/>
    <n v="0"/>
    <x v="0"/>
  </r>
  <r>
    <n v="1010"/>
    <d v="2022-10-21T00:00:00"/>
    <d v="1899-12-30T22:11:00"/>
    <n v="65"/>
    <x v="1"/>
    <x v="41"/>
    <x v="0"/>
    <n v="4"/>
    <n v="50"/>
    <n v="54.5"/>
    <n v="200"/>
    <x v="0"/>
    <n v="10"/>
    <x v="5"/>
    <n v="21"/>
    <x v="3"/>
    <n v="4"/>
    <n v="145.5"/>
    <n v="0.72750000000000004"/>
    <n v="1"/>
    <x v="0"/>
  </r>
  <r>
    <n v="1026"/>
    <d v="2022-11-24T00:00:00"/>
    <d v="1899-12-30T19:10:00"/>
    <n v="60"/>
    <x v="1"/>
    <x v="32"/>
    <x v="2"/>
    <n v="2"/>
    <n v="500"/>
    <n v="520"/>
    <n v="1000"/>
    <x v="0"/>
    <n v="11"/>
    <x v="0"/>
    <n v="24"/>
    <x v="2"/>
    <n v="4"/>
    <n v="480"/>
    <n v="0.48"/>
    <n v="1"/>
    <x v="0"/>
  </r>
  <r>
    <n v="1437"/>
    <d v="2023-09-04T00:00:00"/>
    <d v="1899-12-30T19:19:00"/>
    <n v="76"/>
    <x v="1"/>
    <x v="39"/>
    <x v="2"/>
    <n v="4"/>
    <n v="300"/>
    <n v="372"/>
    <n v="1200"/>
    <x v="1"/>
    <n v="9"/>
    <x v="9"/>
    <n v="4"/>
    <x v="1"/>
    <n v="3"/>
    <n v="828"/>
    <n v="0.69"/>
    <n v="1"/>
    <x v="1"/>
  </r>
  <r>
    <n v="1689"/>
    <d v="2023-12-19T00:00:00"/>
    <d v="1899-12-30T20:54:00"/>
    <n v="114"/>
    <x v="0"/>
    <x v="10"/>
    <x v="2"/>
    <n v="2"/>
    <n v="50"/>
    <n v="47.5"/>
    <n v="100"/>
    <x v="1"/>
    <n v="12"/>
    <x v="2"/>
    <n v="19"/>
    <x v="6"/>
    <n v="4"/>
    <n v="52.5"/>
    <n v="0.52500000000000002"/>
    <n v="0"/>
    <x v="0"/>
  </r>
  <r>
    <n v="558"/>
    <d v="2023-10-26T00:00:00"/>
    <d v="1899-12-30T17:47:00"/>
    <n v="108"/>
    <x v="1"/>
    <x v="0"/>
    <x v="0"/>
    <n v="1"/>
    <n v="25"/>
    <n v="26"/>
    <n v="25"/>
    <x v="1"/>
    <n v="10"/>
    <x v="5"/>
    <n v="26"/>
    <x v="2"/>
    <n v="4"/>
    <n v="-1"/>
    <n v="-0.04"/>
    <n v="0"/>
    <x v="0"/>
  </r>
  <r>
    <n v="634"/>
    <d v="2022-10-10T00:00:00"/>
    <d v="1899-12-30T19:25:00"/>
    <n v="68"/>
    <x v="0"/>
    <x v="13"/>
    <x v="2"/>
    <n v="4"/>
    <n v="500"/>
    <n v="535"/>
    <n v="2000"/>
    <x v="0"/>
    <n v="10"/>
    <x v="5"/>
    <n v="10"/>
    <x v="1"/>
    <n v="4"/>
    <n v="1465"/>
    <n v="0.73250000000000004"/>
    <n v="1"/>
    <x v="0"/>
  </r>
  <r>
    <n v="1558"/>
    <d v="2022-12-22T00:00:00"/>
    <d v="1899-12-30T20:37:00"/>
    <n v="91"/>
    <x v="1"/>
    <x v="0"/>
    <x v="0"/>
    <n v="1"/>
    <n v="25"/>
    <n v="27.75"/>
    <n v="25"/>
    <x v="0"/>
    <n v="12"/>
    <x v="2"/>
    <n v="22"/>
    <x v="2"/>
    <n v="4"/>
    <n v="-2.75"/>
    <n v="-0.11"/>
    <n v="0"/>
    <x v="0"/>
  </r>
  <r>
    <n v="1634"/>
    <d v="2023-11-03T00:00:00"/>
    <d v="1899-12-30T17:18:00"/>
    <n v="90"/>
    <x v="0"/>
    <x v="13"/>
    <x v="2"/>
    <n v="4"/>
    <n v="500"/>
    <n v="520"/>
    <n v="2000"/>
    <x v="1"/>
    <n v="11"/>
    <x v="0"/>
    <n v="3"/>
    <x v="3"/>
    <n v="4"/>
    <n v="1480"/>
    <n v="0.74"/>
    <n v="1"/>
    <x v="0"/>
  </r>
  <r>
    <n v="201"/>
    <d v="2022-10-13T00:00:00"/>
    <d v="1899-12-30T19:08:00"/>
    <n v="105"/>
    <x v="0"/>
    <x v="34"/>
    <x v="2"/>
    <n v="1"/>
    <n v="25"/>
    <n v="29.75"/>
    <n v="25"/>
    <x v="0"/>
    <n v="10"/>
    <x v="5"/>
    <n v="13"/>
    <x v="2"/>
    <n v="4"/>
    <n v="-4.75"/>
    <n v="-0.19"/>
    <n v="0"/>
    <x v="0"/>
  </r>
  <r>
    <n v="286"/>
    <d v="2022-10-05T00:00:00"/>
    <d v="1899-12-30T22:56:00"/>
    <n v="92"/>
    <x v="0"/>
    <x v="46"/>
    <x v="2"/>
    <n v="2"/>
    <n v="25"/>
    <n v="27.75"/>
    <n v="50"/>
    <x v="0"/>
    <n v="10"/>
    <x v="5"/>
    <n v="5"/>
    <x v="4"/>
    <n v="4"/>
    <n v="22.25"/>
    <n v="0.44500000000000001"/>
    <n v="0"/>
    <x v="0"/>
  </r>
  <r>
    <n v="876"/>
    <d v="2023-10-03T00:00:00"/>
    <d v="1899-12-30T19:39:00"/>
    <n v="104"/>
    <x v="0"/>
    <x v="22"/>
    <x v="0"/>
    <n v="4"/>
    <n v="30"/>
    <n v="30"/>
    <n v="120"/>
    <x v="1"/>
    <n v="10"/>
    <x v="5"/>
    <n v="3"/>
    <x v="6"/>
    <n v="4"/>
    <n v="90"/>
    <n v="0.75"/>
    <n v="0"/>
    <x v="0"/>
  </r>
  <r>
    <n v="1201"/>
    <d v="2023-10-31T00:00:00"/>
    <d v="1899-12-30T17:28:00"/>
    <n v="115"/>
    <x v="0"/>
    <x v="34"/>
    <x v="2"/>
    <n v="1"/>
    <n v="25"/>
    <n v="27.75"/>
    <n v="25"/>
    <x v="1"/>
    <n v="10"/>
    <x v="5"/>
    <n v="31"/>
    <x v="6"/>
    <n v="4"/>
    <n v="-2.75"/>
    <n v="-0.11"/>
    <n v="0"/>
    <x v="0"/>
  </r>
  <r>
    <n v="1286"/>
    <d v="2022-12-26T00:00:00"/>
    <d v="1899-12-30T17:23:00"/>
    <n v="111"/>
    <x v="0"/>
    <x v="46"/>
    <x v="2"/>
    <n v="2"/>
    <n v="25"/>
    <n v="28.5"/>
    <n v="50"/>
    <x v="0"/>
    <n v="12"/>
    <x v="2"/>
    <n v="26"/>
    <x v="1"/>
    <n v="4"/>
    <n v="21.5"/>
    <n v="0.43"/>
    <n v="0"/>
    <x v="0"/>
  </r>
  <r>
    <n v="1876"/>
    <d v="2023-11-05T00:00:00"/>
    <d v="1899-12-30T19:53:00"/>
    <n v="68"/>
    <x v="0"/>
    <x v="22"/>
    <x v="0"/>
    <n v="4"/>
    <n v="30"/>
    <n v="32.1"/>
    <n v="120"/>
    <x v="1"/>
    <n v="11"/>
    <x v="0"/>
    <n v="5"/>
    <x v="5"/>
    <n v="4"/>
    <n v="87.9"/>
    <n v="0.73250000000000004"/>
    <n v="0"/>
    <x v="0"/>
  </r>
  <r>
    <n v="55"/>
    <d v="2023-09-28T00:00:00"/>
    <d v="1899-12-30T20:32:00"/>
    <n v="57"/>
    <x v="0"/>
    <x v="16"/>
    <x v="1"/>
    <n v="4"/>
    <n v="30"/>
    <n v="31.8"/>
    <n v="120"/>
    <x v="1"/>
    <n v="9"/>
    <x v="9"/>
    <n v="28"/>
    <x v="2"/>
    <n v="3"/>
    <n v="88.2"/>
    <n v="0.73499999999999999"/>
    <n v="0"/>
    <x v="1"/>
  </r>
  <r>
    <n v="428"/>
    <d v="2022-12-02T00:00:00"/>
    <d v="1899-12-30T22:44:00"/>
    <n v="50"/>
    <x v="1"/>
    <x v="2"/>
    <x v="2"/>
    <n v="4"/>
    <n v="50"/>
    <n v="49.5"/>
    <n v="200"/>
    <x v="0"/>
    <n v="12"/>
    <x v="2"/>
    <n v="2"/>
    <x v="3"/>
    <n v="4"/>
    <n v="150.5"/>
    <n v="0.75249999999999995"/>
    <n v="1"/>
    <x v="0"/>
  </r>
  <r>
    <n v="441"/>
    <d v="2023-11-06T00:00:00"/>
    <d v="1899-12-30T22:00:00"/>
    <n v="85"/>
    <x v="0"/>
    <x v="10"/>
    <x v="1"/>
    <n v="4"/>
    <n v="300"/>
    <n v="351"/>
    <n v="1200"/>
    <x v="1"/>
    <n v="11"/>
    <x v="0"/>
    <n v="6"/>
    <x v="1"/>
    <n v="4"/>
    <n v="849"/>
    <n v="0.70750000000000002"/>
    <n v="1"/>
    <x v="0"/>
  </r>
  <r>
    <n v="976"/>
    <d v="2023-10-08T00:00:00"/>
    <d v="1899-12-30T19:50:00"/>
    <n v="56"/>
    <x v="1"/>
    <x v="42"/>
    <x v="1"/>
    <n v="2"/>
    <n v="300"/>
    <n v="345"/>
    <n v="600"/>
    <x v="1"/>
    <n v="10"/>
    <x v="5"/>
    <n v="8"/>
    <x v="5"/>
    <n v="4"/>
    <n v="255"/>
    <n v="0.42499999999999999"/>
    <n v="1"/>
    <x v="0"/>
  </r>
  <r>
    <n v="1055"/>
    <d v="2022-10-23T00:00:00"/>
    <d v="1899-12-30T21:35:00"/>
    <n v="97"/>
    <x v="0"/>
    <x v="16"/>
    <x v="1"/>
    <n v="4"/>
    <n v="30"/>
    <n v="37.5"/>
    <n v="120"/>
    <x v="0"/>
    <n v="10"/>
    <x v="5"/>
    <n v="23"/>
    <x v="5"/>
    <n v="4"/>
    <n v="82.5"/>
    <n v="0.6875"/>
    <n v="0"/>
    <x v="0"/>
  </r>
  <r>
    <n v="1428"/>
    <d v="2023-09-09T00:00:00"/>
    <d v="1899-12-30T18:44:00"/>
    <n v="96"/>
    <x v="1"/>
    <x v="2"/>
    <x v="2"/>
    <n v="4"/>
    <n v="50"/>
    <n v="57"/>
    <n v="200"/>
    <x v="1"/>
    <n v="9"/>
    <x v="9"/>
    <n v="9"/>
    <x v="0"/>
    <n v="3"/>
    <n v="143"/>
    <n v="0.71499999999999997"/>
    <n v="1"/>
    <x v="1"/>
  </r>
  <r>
    <n v="1441"/>
    <d v="2023-10-04T00:00:00"/>
    <d v="1899-12-30T21:38:00"/>
    <n v="63"/>
    <x v="0"/>
    <x v="10"/>
    <x v="1"/>
    <n v="4"/>
    <n v="300"/>
    <n v="354"/>
    <n v="1200"/>
    <x v="1"/>
    <n v="10"/>
    <x v="5"/>
    <n v="4"/>
    <x v="4"/>
    <n v="4"/>
    <n v="846"/>
    <n v="0.70499999999999996"/>
    <n v="1"/>
    <x v="0"/>
  </r>
  <r>
    <n v="1976"/>
    <d v="2023-10-15T00:00:00"/>
    <d v="1899-12-30T21:10:00"/>
    <n v="108"/>
    <x v="1"/>
    <x v="42"/>
    <x v="1"/>
    <n v="2"/>
    <n v="300"/>
    <n v="360"/>
    <n v="600"/>
    <x v="1"/>
    <n v="10"/>
    <x v="5"/>
    <n v="15"/>
    <x v="5"/>
    <n v="4"/>
    <n v="240"/>
    <n v="0.4"/>
    <n v="1"/>
    <x v="0"/>
  </r>
  <r>
    <n v="149"/>
    <d v="2023-10-14T00:00:00"/>
    <d v="1899-12-30T17:52:00"/>
    <n v="73"/>
    <x v="0"/>
    <x v="30"/>
    <x v="0"/>
    <n v="3"/>
    <n v="25"/>
    <n v="27"/>
    <n v="75"/>
    <x v="1"/>
    <n v="10"/>
    <x v="5"/>
    <n v="14"/>
    <x v="0"/>
    <n v="4"/>
    <n v="48"/>
    <n v="0.64"/>
    <n v="0"/>
    <x v="0"/>
  </r>
  <r>
    <n v="227"/>
    <d v="2023-11-15T00:00:00"/>
    <d v="1899-12-30T19:19:00"/>
    <n v="87"/>
    <x v="0"/>
    <x v="31"/>
    <x v="2"/>
    <n v="2"/>
    <n v="50"/>
    <n v="50.5"/>
    <n v="100"/>
    <x v="1"/>
    <n v="11"/>
    <x v="0"/>
    <n v="15"/>
    <x v="4"/>
    <n v="4"/>
    <n v="49.5"/>
    <n v="0.495"/>
    <n v="0"/>
    <x v="0"/>
  </r>
  <r>
    <n v="393"/>
    <d v="2022-10-19T00:00:00"/>
    <d v="1899-12-30T18:52:00"/>
    <n v="85"/>
    <x v="1"/>
    <x v="30"/>
    <x v="1"/>
    <n v="2"/>
    <n v="500"/>
    <n v="595"/>
    <n v="1000"/>
    <x v="0"/>
    <n v="10"/>
    <x v="5"/>
    <n v="19"/>
    <x v="4"/>
    <n v="4"/>
    <n v="405"/>
    <n v="0.40500000000000003"/>
    <n v="1"/>
    <x v="0"/>
  </r>
  <r>
    <n v="401"/>
    <d v="2023-12-03T00:00:00"/>
    <d v="1899-12-30T19:03:00"/>
    <n v="51"/>
    <x v="1"/>
    <x v="44"/>
    <x v="0"/>
    <n v="1"/>
    <n v="300"/>
    <n v="372"/>
    <n v="300"/>
    <x v="1"/>
    <n v="12"/>
    <x v="2"/>
    <n v="3"/>
    <x v="5"/>
    <n v="4"/>
    <n v="-72"/>
    <n v="-0.24"/>
    <n v="1"/>
    <x v="0"/>
  </r>
  <r>
    <n v="546"/>
    <d v="2022-12-30T00:00:00"/>
    <d v="1899-12-30T22:32:00"/>
    <n v="57"/>
    <x v="1"/>
    <x v="31"/>
    <x v="2"/>
    <n v="4"/>
    <n v="50"/>
    <n v="53.5"/>
    <n v="200"/>
    <x v="0"/>
    <n v="12"/>
    <x v="2"/>
    <n v="30"/>
    <x v="3"/>
    <n v="4"/>
    <n v="146.5"/>
    <n v="0.73250000000000004"/>
    <n v="1"/>
    <x v="0"/>
  </r>
  <r>
    <n v="872"/>
    <d v="2023-12-10T00:00:00"/>
    <d v="1899-12-30T22:18:00"/>
    <n v="113"/>
    <x v="1"/>
    <x v="15"/>
    <x v="1"/>
    <n v="3"/>
    <n v="25"/>
    <n v="24.75"/>
    <n v="75"/>
    <x v="1"/>
    <n v="12"/>
    <x v="2"/>
    <n v="10"/>
    <x v="5"/>
    <n v="4"/>
    <n v="50.25"/>
    <n v="0.67"/>
    <n v="0"/>
    <x v="0"/>
  </r>
  <r>
    <n v="914"/>
    <d v="2022-09-07T00:00:00"/>
    <d v="1899-12-30T22:25:00"/>
    <n v="83"/>
    <x v="1"/>
    <x v="26"/>
    <x v="2"/>
    <n v="1"/>
    <n v="500"/>
    <n v="510"/>
    <n v="500"/>
    <x v="0"/>
    <n v="9"/>
    <x v="9"/>
    <n v="7"/>
    <x v="4"/>
    <n v="3"/>
    <n v="-10"/>
    <n v="-0.02"/>
    <n v="1"/>
    <x v="1"/>
  </r>
  <r>
    <n v="1149"/>
    <d v="2023-09-14T00:00:00"/>
    <d v="1899-12-30T19:23:00"/>
    <n v="98"/>
    <x v="0"/>
    <x v="30"/>
    <x v="0"/>
    <n v="3"/>
    <n v="25"/>
    <n v="29.75"/>
    <n v="75"/>
    <x v="1"/>
    <n v="9"/>
    <x v="9"/>
    <n v="14"/>
    <x v="2"/>
    <n v="3"/>
    <n v="45.25"/>
    <n v="0.60333333300000003"/>
    <n v="0"/>
    <x v="1"/>
  </r>
  <r>
    <n v="1227"/>
    <d v="2023-10-01T00:00:00"/>
    <d v="1899-12-30T20:09:00"/>
    <n v="103"/>
    <x v="0"/>
    <x v="31"/>
    <x v="2"/>
    <n v="2"/>
    <n v="50"/>
    <n v="47.5"/>
    <n v="100"/>
    <x v="1"/>
    <n v="10"/>
    <x v="5"/>
    <n v="1"/>
    <x v="5"/>
    <n v="4"/>
    <n v="52.5"/>
    <n v="0.52500000000000002"/>
    <n v="0"/>
    <x v="0"/>
  </r>
  <r>
    <n v="1393"/>
    <d v="2022-10-08T00:00:00"/>
    <d v="1899-12-30T17:24:00"/>
    <n v="56"/>
    <x v="1"/>
    <x v="30"/>
    <x v="1"/>
    <n v="2"/>
    <n v="500"/>
    <n v="580"/>
    <n v="1000"/>
    <x v="0"/>
    <n v="10"/>
    <x v="5"/>
    <n v="8"/>
    <x v="0"/>
    <n v="4"/>
    <n v="420"/>
    <n v="0.42"/>
    <n v="1"/>
    <x v="0"/>
  </r>
  <r>
    <n v="1401"/>
    <d v="2022-10-01T00:00:00"/>
    <d v="1899-12-30T21:20:00"/>
    <n v="85"/>
    <x v="1"/>
    <x v="44"/>
    <x v="0"/>
    <n v="1"/>
    <n v="300"/>
    <n v="294"/>
    <n v="300"/>
    <x v="0"/>
    <n v="10"/>
    <x v="5"/>
    <n v="1"/>
    <x v="0"/>
    <n v="4"/>
    <n v="6"/>
    <n v="0.02"/>
    <n v="1"/>
    <x v="0"/>
  </r>
  <r>
    <n v="1546"/>
    <d v="2022-12-18T00:00:00"/>
    <d v="1899-12-30T19:06:00"/>
    <n v="93"/>
    <x v="1"/>
    <x v="31"/>
    <x v="2"/>
    <n v="4"/>
    <n v="50"/>
    <n v="48"/>
    <n v="200"/>
    <x v="0"/>
    <n v="12"/>
    <x v="2"/>
    <n v="18"/>
    <x v="5"/>
    <n v="4"/>
    <n v="152"/>
    <n v="0.76"/>
    <n v="1"/>
    <x v="0"/>
  </r>
  <r>
    <n v="1872"/>
    <d v="2022-11-22T00:00:00"/>
    <d v="1899-12-30T17:02:00"/>
    <n v="57"/>
    <x v="1"/>
    <x v="15"/>
    <x v="1"/>
    <n v="3"/>
    <n v="25"/>
    <n v="26.25"/>
    <n v="75"/>
    <x v="0"/>
    <n v="11"/>
    <x v="0"/>
    <n v="22"/>
    <x v="6"/>
    <n v="4"/>
    <n v="48.75"/>
    <n v="0.65"/>
    <n v="0"/>
    <x v="0"/>
  </r>
  <r>
    <n v="1914"/>
    <d v="2023-11-05T00:00:00"/>
    <d v="1899-12-30T17:49:00"/>
    <n v="70"/>
    <x v="1"/>
    <x v="26"/>
    <x v="2"/>
    <n v="1"/>
    <n v="500"/>
    <n v="510"/>
    <n v="500"/>
    <x v="1"/>
    <n v="11"/>
    <x v="0"/>
    <n v="5"/>
    <x v="5"/>
    <n v="4"/>
    <n v="-10"/>
    <n v="-0.02"/>
    <n v="1"/>
    <x v="0"/>
  </r>
  <r>
    <n v="310"/>
    <d v="2022-11-10T00:00:00"/>
    <d v="1899-12-30T21:34:00"/>
    <n v="76"/>
    <x v="1"/>
    <x v="32"/>
    <x v="1"/>
    <n v="1"/>
    <n v="25"/>
    <n v="31"/>
    <n v="25"/>
    <x v="0"/>
    <n v="11"/>
    <x v="0"/>
    <n v="10"/>
    <x v="2"/>
    <n v="4"/>
    <n v="-6"/>
    <n v="-0.24"/>
    <n v="0"/>
    <x v="0"/>
  </r>
  <r>
    <n v="844"/>
    <d v="2023-10-09T00:00:00"/>
    <d v="1899-12-30T17:54:00"/>
    <n v="95"/>
    <x v="0"/>
    <x v="39"/>
    <x v="0"/>
    <n v="3"/>
    <n v="50"/>
    <n v="62"/>
    <n v="150"/>
    <x v="1"/>
    <n v="10"/>
    <x v="5"/>
    <n v="9"/>
    <x v="1"/>
    <n v="4"/>
    <n v="88"/>
    <n v="0.58666666700000003"/>
    <n v="1"/>
    <x v="0"/>
  </r>
  <r>
    <n v="852"/>
    <d v="2022-10-01T00:00:00"/>
    <d v="1899-12-30T19:35:00"/>
    <n v="82"/>
    <x v="1"/>
    <x v="0"/>
    <x v="0"/>
    <n v="1"/>
    <n v="300"/>
    <n v="375"/>
    <n v="300"/>
    <x v="0"/>
    <n v="10"/>
    <x v="5"/>
    <n v="1"/>
    <x v="0"/>
    <n v="4"/>
    <n v="-75"/>
    <n v="-0.25"/>
    <n v="1"/>
    <x v="0"/>
  </r>
  <r>
    <n v="1310"/>
    <d v="2022-10-29T00:00:00"/>
    <d v="1899-12-30T21:31:00"/>
    <n v="74"/>
    <x v="1"/>
    <x v="32"/>
    <x v="1"/>
    <n v="1"/>
    <n v="25"/>
    <n v="24.75"/>
    <n v="25"/>
    <x v="0"/>
    <n v="10"/>
    <x v="5"/>
    <n v="29"/>
    <x v="0"/>
    <n v="4"/>
    <n v="0.25"/>
    <n v="0.01"/>
    <n v="0"/>
    <x v="0"/>
  </r>
  <r>
    <n v="1844"/>
    <d v="2022-10-25T00:00:00"/>
    <d v="1899-12-30T20:30:00"/>
    <n v="70"/>
    <x v="0"/>
    <x v="39"/>
    <x v="0"/>
    <n v="3"/>
    <n v="50"/>
    <n v="50.5"/>
    <n v="150"/>
    <x v="0"/>
    <n v="10"/>
    <x v="5"/>
    <n v="25"/>
    <x v="6"/>
    <n v="4"/>
    <n v="99.5"/>
    <n v="0.66333333299999997"/>
    <n v="1"/>
    <x v="0"/>
  </r>
  <r>
    <n v="1852"/>
    <d v="2023-10-11T00:00:00"/>
    <d v="1899-12-30T18:09:00"/>
    <n v="109"/>
    <x v="1"/>
    <x v="0"/>
    <x v="0"/>
    <n v="1"/>
    <n v="300"/>
    <n v="333"/>
    <n v="300"/>
    <x v="1"/>
    <n v="10"/>
    <x v="5"/>
    <n v="11"/>
    <x v="4"/>
    <n v="4"/>
    <n v="-33"/>
    <n v="-0.11"/>
    <n v="1"/>
    <x v="0"/>
  </r>
  <r>
    <n v="97"/>
    <d v="2022-11-26T00:00:00"/>
    <d v="1899-12-30T18:17:00"/>
    <n v="112"/>
    <x v="1"/>
    <x v="12"/>
    <x v="1"/>
    <n v="2"/>
    <n v="500"/>
    <n v="555"/>
    <n v="1000"/>
    <x v="0"/>
    <n v="11"/>
    <x v="0"/>
    <n v="26"/>
    <x v="0"/>
    <n v="4"/>
    <n v="445"/>
    <n v="0.44500000000000001"/>
    <n v="1"/>
    <x v="0"/>
  </r>
  <r>
    <n v="619"/>
    <d v="2023-10-09T00:00:00"/>
    <d v="1899-12-30T18:10:00"/>
    <n v="56"/>
    <x v="0"/>
    <x v="35"/>
    <x v="2"/>
    <n v="4"/>
    <n v="25"/>
    <n v="26.25"/>
    <n v="100"/>
    <x v="1"/>
    <n v="10"/>
    <x v="5"/>
    <n v="9"/>
    <x v="1"/>
    <n v="4"/>
    <n v="73.75"/>
    <n v="0.73750000000000004"/>
    <n v="0"/>
    <x v="0"/>
  </r>
  <r>
    <n v="948"/>
    <d v="2023-12-10T00:00:00"/>
    <d v="1899-12-30T22:06:00"/>
    <n v="52"/>
    <x v="1"/>
    <x v="8"/>
    <x v="2"/>
    <n v="3"/>
    <n v="25"/>
    <n v="28.75"/>
    <n v="75"/>
    <x v="1"/>
    <n v="12"/>
    <x v="2"/>
    <n v="10"/>
    <x v="5"/>
    <n v="4"/>
    <n v="46.25"/>
    <n v="0.61666666699999995"/>
    <n v="0"/>
    <x v="0"/>
  </r>
  <r>
    <n v="1097"/>
    <d v="2022-12-26T00:00:00"/>
    <d v="1899-12-30T20:53:00"/>
    <n v="86"/>
    <x v="1"/>
    <x v="12"/>
    <x v="1"/>
    <n v="2"/>
    <n v="500"/>
    <n v="485"/>
    <n v="1000"/>
    <x v="0"/>
    <n v="12"/>
    <x v="2"/>
    <n v="26"/>
    <x v="1"/>
    <n v="4"/>
    <n v="515"/>
    <n v="0.51500000000000001"/>
    <n v="1"/>
    <x v="0"/>
  </r>
  <r>
    <n v="1619"/>
    <d v="2022-10-20T00:00:00"/>
    <d v="1899-12-30T18:07:00"/>
    <n v="61"/>
    <x v="0"/>
    <x v="35"/>
    <x v="2"/>
    <n v="4"/>
    <n v="25"/>
    <n v="24.25"/>
    <n v="100"/>
    <x v="0"/>
    <n v="10"/>
    <x v="5"/>
    <n v="20"/>
    <x v="2"/>
    <n v="4"/>
    <n v="75.75"/>
    <n v="0.75749999999999995"/>
    <n v="0"/>
    <x v="0"/>
  </r>
  <r>
    <n v="1948"/>
    <d v="2023-09-17T00:00:00"/>
    <d v="1899-12-30T21:09:00"/>
    <n v="100"/>
    <x v="1"/>
    <x v="8"/>
    <x v="2"/>
    <n v="3"/>
    <n v="25"/>
    <n v="24.5"/>
    <n v="75"/>
    <x v="1"/>
    <n v="9"/>
    <x v="9"/>
    <n v="17"/>
    <x v="5"/>
    <n v="3"/>
    <n v="50.5"/>
    <n v="0.67333333299999998"/>
    <n v="0"/>
    <x v="1"/>
  </r>
  <r>
    <n v="456"/>
    <d v="2023-12-15T00:00:00"/>
    <d v="1899-12-30T19:45:00"/>
    <n v="51"/>
    <x v="0"/>
    <x v="10"/>
    <x v="2"/>
    <n v="2"/>
    <n v="30"/>
    <n v="33.9"/>
    <n v="60"/>
    <x v="1"/>
    <n v="12"/>
    <x v="2"/>
    <n v="15"/>
    <x v="3"/>
    <n v="4"/>
    <n v="26.1"/>
    <n v="0.435"/>
    <n v="0"/>
    <x v="0"/>
  </r>
  <r>
    <n v="627"/>
    <d v="2022-10-24T00:00:00"/>
    <d v="1899-12-30T18:14:00"/>
    <n v="79"/>
    <x v="0"/>
    <x v="10"/>
    <x v="0"/>
    <n v="1"/>
    <n v="50"/>
    <n v="55.5"/>
    <n v="50"/>
    <x v="0"/>
    <n v="10"/>
    <x v="5"/>
    <n v="24"/>
    <x v="1"/>
    <n v="4"/>
    <n v="-5.5"/>
    <n v="-0.11"/>
    <n v="0"/>
    <x v="0"/>
  </r>
  <r>
    <n v="1456"/>
    <d v="2022-09-02T00:00:00"/>
    <d v="1899-12-30T18:49:00"/>
    <n v="85"/>
    <x v="0"/>
    <x v="10"/>
    <x v="2"/>
    <n v="2"/>
    <n v="30"/>
    <n v="37.200000000000003"/>
    <n v="60"/>
    <x v="0"/>
    <n v="9"/>
    <x v="9"/>
    <n v="2"/>
    <x v="3"/>
    <n v="3"/>
    <n v="22.8"/>
    <n v="0.38"/>
    <n v="0"/>
    <x v="1"/>
  </r>
  <r>
    <n v="1627"/>
    <d v="2022-11-18T00:00:00"/>
    <d v="1899-12-30T17:21:00"/>
    <n v="84"/>
    <x v="0"/>
    <x v="10"/>
    <x v="0"/>
    <n v="1"/>
    <n v="50"/>
    <n v="60"/>
    <n v="50"/>
    <x v="0"/>
    <n v="11"/>
    <x v="0"/>
    <n v="18"/>
    <x v="3"/>
    <n v="4"/>
    <n v="-10"/>
    <n v="-0.2"/>
    <n v="0"/>
    <x v="0"/>
  </r>
  <r>
    <n v="22"/>
    <d v="2023-11-25T00:00:00"/>
    <d v="1899-12-30T17:11:00"/>
    <n v="66"/>
    <x v="0"/>
    <x v="18"/>
    <x v="0"/>
    <n v="2"/>
    <n v="50"/>
    <n v="60.5"/>
    <n v="100"/>
    <x v="1"/>
    <n v="11"/>
    <x v="0"/>
    <n v="25"/>
    <x v="0"/>
    <n v="4"/>
    <n v="39.5"/>
    <n v="0.39500000000000002"/>
    <n v="0"/>
    <x v="0"/>
  </r>
  <r>
    <n v="121"/>
    <d v="2023-10-07T00:00:00"/>
    <d v="1899-12-30T18:57:00"/>
    <n v="110"/>
    <x v="1"/>
    <x v="32"/>
    <x v="2"/>
    <n v="4"/>
    <n v="50"/>
    <n v="54.5"/>
    <n v="200"/>
    <x v="1"/>
    <n v="10"/>
    <x v="5"/>
    <n v="7"/>
    <x v="0"/>
    <n v="4"/>
    <n v="145.5"/>
    <n v="0.72750000000000004"/>
    <n v="1"/>
    <x v="0"/>
  </r>
  <r>
    <n v="431"/>
    <d v="2022-10-29T00:00:00"/>
    <d v="1899-12-30T22:02:00"/>
    <n v="99"/>
    <x v="0"/>
    <x v="15"/>
    <x v="2"/>
    <n v="4"/>
    <n v="300"/>
    <n v="345"/>
    <n v="1200"/>
    <x v="0"/>
    <n v="10"/>
    <x v="5"/>
    <n v="29"/>
    <x v="0"/>
    <n v="4"/>
    <n v="855"/>
    <n v="0.71250000000000002"/>
    <n v="1"/>
    <x v="0"/>
  </r>
  <r>
    <n v="1022"/>
    <d v="2023-09-05T00:00:00"/>
    <d v="1899-12-30T17:49:00"/>
    <n v="69"/>
    <x v="0"/>
    <x v="18"/>
    <x v="0"/>
    <n v="2"/>
    <n v="50"/>
    <n v="52.5"/>
    <n v="100"/>
    <x v="1"/>
    <n v="9"/>
    <x v="9"/>
    <n v="5"/>
    <x v="6"/>
    <n v="3"/>
    <n v="47.5"/>
    <n v="0.47499999999999998"/>
    <n v="0"/>
    <x v="1"/>
  </r>
  <r>
    <n v="1121"/>
    <d v="2022-11-23T00:00:00"/>
    <d v="1899-12-30T21:10:00"/>
    <n v="95"/>
    <x v="1"/>
    <x v="32"/>
    <x v="2"/>
    <n v="4"/>
    <n v="50"/>
    <n v="50.5"/>
    <n v="200"/>
    <x v="0"/>
    <n v="11"/>
    <x v="0"/>
    <n v="23"/>
    <x v="4"/>
    <n v="4"/>
    <n v="149.5"/>
    <n v="0.74750000000000005"/>
    <n v="1"/>
    <x v="0"/>
  </r>
  <r>
    <n v="1431"/>
    <d v="2023-09-28T00:00:00"/>
    <d v="1899-12-30T21:28:00"/>
    <n v="114"/>
    <x v="0"/>
    <x v="15"/>
    <x v="2"/>
    <n v="4"/>
    <n v="300"/>
    <n v="312"/>
    <n v="1200"/>
    <x v="1"/>
    <n v="9"/>
    <x v="9"/>
    <n v="28"/>
    <x v="2"/>
    <n v="3"/>
    <n v="888"/>
    <n v="0.74"/>
    <n v="1"/>
    <x v="1"/>
  </r>
  <r>
    <n v="370"/>
    <d v="2023-10-24T00:00:00"/>
    <d v="1899-12-30T21:04:00"/>
    <n v="61"/>
    <x v="0"/>
    <x v="8"/>
    <x v="2"/>
    <n v="2"/>
    <n v="30"/>
    <n v="34.799999999999997"/>
    <n v="60"/>
    <x v="1"/>
    <n v="10"/>
    <x v="5"/>
    <n v="24"/>
    <x v="6"/>
    <n v="4"/>
    <n v="25.2"/>
    <n v="0.42"/>
    <n v="0"/>
    <x v="0"/>
  </r>
  <r>
    <n v="711"/>
    <d v="2023-09-23T00:00:00"/>
    <d v="1899-12-30T22:26:00"/>
    <n v="103"/>
    <x v="0"/>
    <x v="6"/>
    <x v="2"/>
    <n v="3"/>
    <n v="500"/>
    <n v="575"/>
    <n v="1500"/>
    <x v="1"/>
    <n v="9"/>
    <x v="9"/>
    <n v="23"/>
    <x v="0"/>
    <n v="3"/>
    <n v="925"/>
    <n v="0.61666666699999995"/>
    <n v="1"/>
    <x v="1"/>
  </r>
  <r>
    <n v="754"/>
    <d v="2023-09-26T00:00:00"/>
    <d v="1899-12-30T18:40:00"/>
    <n v="90"/>
    <x v="1"/>
    <x v="22"/>
    <x v="2"/>
    <n v="4"/>
    <n v="25"/>
    <n v="23.75"/>
    <n v="100"/>
    <x v="1"/>
    <n v="9"/>
    <x v="9"/>
    <n v="26"/>
    <x v="6"/>
    <n v="3"/>
    <n v="76.25"/>
    <n v="0.76249999999999996"/>
    <n v="0"/>
    <x v="1"/>
  </r>
  <r>
    <n v="943"/>
    <d v="2022-11-05T00:00:00"/>
    <d v="1899-12-30T19:29:00"/>
    <n v="90"/>
    <x v="1"/>
    <x v="10"/>
    <x v="0"/>
    <n v="4"/>
    <n v="300"/>
    <n v="318"/>
    <n v="1200"/>
    <x v="0"/>
    <n v="11"/>
    <x v="0"/>
    <n v="5"/>
    <x v="0"/>
    <n v="4"/>
    <n v="882"/>
    <n v="0.73499999999999999"/>
    <n v="1"/>
    <x v="0"/>
  </r>
  <r>
    <n v="1370"/>
    <d v="2022-11-04T00:00:00"/>
    <d v="1899-12-30T22:51:00"/>
    <n v="90"/>
    <x v="0"/>
    <x v="8"/>
    <x v="2"/>
    <n v="2"/>
    <n v="30"/>
    <n v="36"/>
    <n v="60"/>
    <x v="0"/>
    <n v="11"/>
    <x v="0"/>
    <n v="4"/>
    <x v="3"/>
    <n v="4"/>
    <n v="24"/>
    <n v="0.4"/>
    <n v="0"/>
    <x v="0"/>
  </r>
  <r>
    <n v="1711"/>
    <d v="2023-09-22T00:00:00"/>
    <d v="1899-12-30T20:33:00"/>
    <n v="113"/>
    <x v="0"/>
    <x v="6"/>
    <x v="2"/>
    <n v="3"/>
    <n v="500"/>
    <n v="570"/>
    <n v="1500"/>
    <x v="1"/>
    <n v="9"/>
    <x v="9"/>
    <n v="22"/>
    <x v="3"/>
    <n v="3"/>
    <n v="930"/>
    <n v="0.62"/>
    <n v="1"/>
    <x v="1"/>
  </r>
  <r>
    <n v="1754"/>
    <d v="2022-12-01T00:00:00"/>
    <d v="1899-12-30T21:03:00"/>
    <n v="107"/>
    <x v="1"/>
    <x v="22"/>
    <x v="2"/>
    <n v="4"/>
    <n v="25"/>
    <n v="28.5"/>
    <n v="100"/>
    <x v="0"/>
    <n v="12"/>
    <x v="2"/>
    <n v="1"/>
    <x v="2"/>
    <n v="4"/>
    <n v="71.5"/>
    <n v="0.71499999999999997"/>
    <n v="0"/>
    <x v="0"/>
  </r>
  <r>
    <n v="1943"/>
    <d v="2023-11-17T00:00:00"/>
    <d v="1899-12-30T21:00:00"/>
    <n v="108"/>
    <x v="1"/>
    <x v="10"/>
    <x v="0"/>
    <n v="4"/>
    <n v="300"/>
    <n v="321"/>
    <n v="1200"/>
    <x v="1"/>
    <n v="11"/>
    <x v="0"/>
    <n v="17"/>
    <x v="3"/>
    <n v="4"/>
    <n v="879"/>
    <n v="0.73250000000000004"/>
    <n v="1"/>
    <x v="0"/>
  </r>
  <r>
    <n v="350"/>
    <d v="2022-11-20T00:00:00"/>
    <d v="1899-12-30T17:41:00"/>
    <n v="61"/>
    <x v="0"/>
    <x v="38"/>
    <x v="1"/>
    <n v="3"/>
    <n v="25"/>
    <n v="28.5"/>
    <n v="75"/>
    <x v="0"/>
    <n v="11"/>
    <x v="0"/>
    <n v="20"/>
    <x v="5"/>
    <n v="4"/>
    <n v="46.5"/>
    <n v="0.62"/>
    <n v="0"/>
    <x v="0"/>
  </r>
  <r>
    <n v="786"/>
    <d v="2022-12-16T00:00:00"/>
    <d v="1899-12-30T20:38:00"/>
    <n v="78"/>
    <x v="0"/>
    <x v="42"/>
    <x v="0"/>
    <n v="4"/>
    <n v="25"/>
    <n v="28.5"/>
    <n v="100"/>
    <x v="0"/>
    <n v="12"/>
    <x v="2"/>
    <n v="16"/>
    <x v="3"/>
    <n v="4"/>
    <n v="71.5"/>
    <n v="0.71499999999999997"/>
    <n v="0"/>
    <x v="0"/>
  </r>
  <r>
    <n v="1350"/>
    <d v="2023-11-08T00:00:00"/>
    <d v="1899-12-30T22:02:00"/>
    <n v="93"/>
    <x v="0"/>
    <x v="38"/>
    <x v="1"/>
    <n v="3"/>
    <n v="25"/>
    <n v="29.25"/>
    <n v="75"/>
    <x v="1"/>
    <n v="11"/>
    <x v="0"/>
    <n v="8"/>
    <x v="4"/>
    <n v="4"/>
    <n v="45.75"/>
    <n v="0.61"/>
    <n v="0"/>
    <x v="0"/>
  </r>
  <r>
    <n v="1786"/>
    <d v="2022-09-27T00:00:00"/>
    <d v="1899-12-30T21:26:00"/>
    <n v="69"/>
    <x v="0"/>
    <x v="42"/>
    <x v="0"/>
    <n v="4"/>
    <n v="25"/>
    <n v="28.75"/>
    <n v="100"/>
    <x v="0"/>
    <n v="9"/>
    <x v="9"/>
    <n v="27"/>
    <x v="6"/>
    <n v="3"/>
    <n v="71.25"/>
    <n v="0.71250000000000002"/>
    <n v="0"/>
    <x v="1"/>
  </r>
  <r>
    <n v="109"/>
    <d v="2023-09-06T00:00:00"/>
    <d v="1899-12-30T19:57:00"/>
    <n v="94"/>
    <x v="1"/>
    <x v="23"/>
    <x v="2"/>
    <n v="4"/>
    <n v="500"/>
    <n v="560"/>
    <n v="2000"/>
    <x v="1"/>
    <n v="9"/>
    <x v="9"/>
    <n v="6"/>
    <x v="4"/>
    <n v="3"/>
    <n v="1440"/>
    <n v="0.72"/>
    <n v="1"/>
    <x v="1"/>
  </r>
  <r>
    <n v="191"/>
    <d v="2023-12-22T00:00:00"/>
    <d v="1899-12-30T21:24:00"/>
    <n v="71"/>
    <x v="0"/>
    <x v="3"/>
    <x v="1"/>
    <n v="1"/>
    <n v="25"/>
    <n v="28.25"/>
    <n v="25"/>
    <x v="1"/>
    <n v="12"/>
    <x v="2"/>
    <n v="22"/>
    <x v="3"/>
    <n v="4"/>
    <n v="-3.25"/>
    <n v="-0.13"/>
    <n v="0"/>
    <x v="0"/>
  </r>
  <r>
    <n v="1109"/>
    <d v="2023-12-13T00:00:00"/>
    <d v="1899-12-30T22:13:00"/>
    <n v="114"/>
    <x v="1"/>
    <x v="23"/>
    <x v="2"/>
    <n v="4"/>
    <n v="500"/>
    <n v="590"/>
    <n v="2000"/>
    <x v="1"/>
    <n v="12"/>
    <x v="2"/>
    <n v="13"/>
    <x v="4"/>
    <n v="4"/>
    <n v="1410"/>
    <n v="0.70499999999999996"/>
    <n v="1"/>
    <x v="0"/>
  </r>
  <r>
    <n v="1191"/>
    <d v="2023-09-25T00:00:00"/>
    <d v="1899-12-30T17:20:00"/>
    <n v="88"/>
    <x v="0"/>
    <x v="3"/>
    <x v="1"/>
    <n v="1"/>
    <n v="25"/>
    <n v="25"/>
    <n v="25"/>
    <x v="1"/>
    <n v="9"/>
    <x v="9"/>
    <n v="25"/>
    <x v="1"/>
    <n v="3"/>
    <n v="0"/>
    <n v="0"/>
    <n v="0"/>
    <x v="1"/>
  </r>
  <r>
    <n v="340"/>
    <d v="2023-09-19T00:00:00"/>
    <d v="1899-12-30T22:59:00"/>
    <n v="54"/>
    <x v="1"/>
    <x v="31"/>
    <x v="0"/>
    <n v="4"/>
    <n v="300"/>
    <n v="294"/>
    <n v="1200"/>
    <x v="1"/>
    <n v="9"/>
    <x v="9"/>
    <n v="19"/>
    <x v="6"/>
    <n v="3"/>
    <n v="906"/>
    <n v="0.755"/>
    <n v="1"/>
    <x v="1"/>
  </r>
  <r>
    <n v="555"/>
    <d v="2022-12-14T00:00:00"/>
    <d v="1899-12-30T19:35:00"/>
    <n v="103"/>
    <x v="0"/>
    <x v="38"/>
    <x v="1"/>
    <n v="1"/>
    <n v="300"/>
    <n v="360"/>
    <n v="300"/>
    <x v="0"/>
    <n v="12"/>
    <x v="2"/>
    <n v="14"/>
    <x v="4"/>
    <n v="4"/>
    <n v="-60"/>
    <n v="-0.2"/>
    <n v="1"/>
    <x v="0"/>
  </r>
  <r>
    <n v="826"/>
    <d v="2022-12-24T00:00:00"/>
    <d v="1899-12-30T19:08:00"/>
    <n v="81"/>
    <x v="1"/>
    <x v="1"/>
    <x v="0"/>
    <n v="1"/>
    <n v="300"/>
    <n v="303"/>
    <n v="300"/>
    <x v="0"/>
    <n v="12"/>
    <x v="2"/>
    <n v="24"/>
    <x v="0"/>
    <n v="4"/>
    <n v="-3"/>
    <n v="-0.01"/>
    <n v="1"/>
    <x v="0"/>
  </r>
  <r>
    <n v="962"/>
    <d v="2023-12-15T00:00:00"/>
    <d v="1899-12-30T22:02:00"/>
    <n v="76"/>
    <x v="0"/>
    <x v="47"/>
    <x v="0"/>
    <n v="2"/>
    <n v="30"/>
    <n v="35.1"/>
    <n v="60"/>
    <x v="1"/>
    <n v="12"/>
    <x v="2"/>
    <n v="15"/>
    <x v="3"/>
    <n v="4"/>
    <n v="24.9"/>
    <n v="0.41499999999999998"/>
    <n v="0"/>
    <x v="0"/>
  </r>
  <r>
    <n v="1340"/>
    <d v="2023-10-30T00:00:00"/>
    <d v="1899-12-30T20:55:00"/>
    <n v="92"/>
    <x v="1"/>
    <x v="31"/>
    <x v="0"/>
    <n v="4"/>
    <n v="300"/>
    <n v="348"/>
    <n v="1200"/>
    <x v="1"/>
    <n v="10"/>
    <x v="5"/>
    <n v="30"/>
    <x v="1"/>
    <n v="4"/>
    <n v="852"/>
    <n v="0.71"/>
    <n v="1"/>
    <x v="0"/>
  </r>
  <r>
    <n v="1555"/>
    <d v="2022-12-19T00:00:00"/>
    <d v="1899-12-30T18:54:00"/>
    <n v="55"/>
    <x v="0"/>
    <x v="38"/>
    <x v="1"/>
    <n v="1"/>
    <n v="300"/>
    <n v="312"/>
    <n v="300"/>
    <x v="0"/>
    <n v="12"/>
    <x v="2"/>
    <n v="19"/>
    <x v="1"/>
    <n v="4"/>
    <n v="-12"/>
    <n v="-0.04"/>
    <n v="1"/>
    <x v="0"/>
  </r>
  <r>
    <n v="1826"/>
    <d v="2022-12-30T00:00:00"/>
    <d v="1899-12-30T22:05:00"/>
    <n v="104"/>
    <x v="1"/>
    <x v="1"/>
    <x v="0"/>
    <n v="1"/>
    <n v="300"/>
    <n v="297"/>
    <n v="300"/>
    <x v="0"/>
    <n v="12"/>
    <x v="2"/>
    <n v="30"/>
    <x v="3"/>
    <n v="4"/>
    <n v="3"/>
    <n v="0.01"/>
    <n v="1"/>
    <x v="0"/>
  </r>
  <r>
    <n v="1962"/>
    <d v="2022-09-07T00:00:00"/>
    <d v="1899-12-30T18:59:00"/>
    <n v="65"/>
    <x v="0"/>
    <x v="47"/>
    <x v="0"/>
    <n v="2"/>
    <n v="30"/>
    <n v="32.700000000000003"/>
    <n v="60"/>
    <x v="0"/>
    <n v="9"/>
    <x v="9"/>
    <n v="7"/>
    <x v="4"/>
    <n v="3"/>
    <n v="27.3"/>
    <n v="0.45500000000000002"/>
    <n v="0"/>
    <x v="1"/>
  </r>
  <r>
    <n v="249"/>
    <d v="2022-09-28T00:00:00"/>
    <d v="1899-12-30T20:17:00"/>
    <n v="109"/>
    <x v="0"/>
    <x v="36"/>
    <x v="0"/>
    <n v="1"/>
    <n v="50"/>
    <n v="53.5"/>
    <n v="50"/>
    <x v="0"/>
    <n v="9"/>
    <x v="9"/>
    <n v="28"/>
    <x v="4"/>
    <n v="3"/>
    <n v="-3.5"/>
    <n v="-7.0000000000000007E-2"/>
    <n v="0"/>
    <x v="1"/>
  </r>
  <r>
    <n v="1249"/>
    <d v="2022-12-10T00:00:00"/>
    <d v="1899-12-30T21:44:00"/>
    <n v="95"/>
    <x v="0"/>
    <x v="36"/>
    <x v="0"/>
    <n v="1"/>
    <n v="50"/>
    <n v="60"/>
    <n v="50"/>
    <x v="0"/>
    <n v="12"/>
    <x v="2"/>
    <n v="10"/>
    <x v="0"/>
    <n v="4"/>
    <n v="-10"/>
    <n v="-0.2"/>
    <n v="0"/>
    <x v="0"/>
  </r>
  <r>
    <n v="922"/>
    <d v="2023-10-19T00:00:00"/>
    <d v="1899-12-30T22:54:00"/>
    <n v="103"/>
    <x v="0"/>
    <x v="0"/>
    <x v="2"/>
    <n v="1"/>
    <n v="50"/>
    <n v="60.5"/>
    <n v="50"/>
    <x v="1"/>
    <n v="10"/>
    <x v="5"/>
    <n v="19"/>
    <x v="2"/>
    <n v="4"/>
    <n v="-10.5"/>
    <n v="-0.21"/>
    <n v="0"/>
    <x v="0"/>
  </r>
  <r>
    <n v="1922"/>
    <d v="2023-10-28T00:00:00"/>
    <d v="1899-12-30T20:07:00"/>
    <n v="72"/>
    <x v="0"/>
    <x v="0"/>
    <x v="2"/>
    <n v="1"/>
    <n v="50"/>
    <n v="48.5"/>
    <n v="50"/>
    <x v="1"/>
    <n v="10"/>
    <x v="5"/>
    <n v="28"/>
    <x v="0"/>
    <n v="4"/>
    <n v="1.5"/>
    <n v="0.03"/>
    <n v="0"/>
    <x v="0"/>
  </r>
  <r>
    <n v="600"/>
    <d v="2023-10-09T00:00:00"/>
    <d v="1899-12-30T18:39:00"/>
    <n v="64"/>
    <x v="1"/>
    <x v="26"/>
    <x v="1"/>
    <n v="2"/>
    <n v="500"/>
    <n v="525"/>
    <n v="1000"/>
    <x v="1"/>
    <n v="10"/>
    <x v="5"/>
    <n v="9"/>
    <x v="1"/>
    <n v="4"/>
    <n v="475"/>
    <n v="0.47499999999999998"/>
    <n v="1"/>
    <x v="0"/>
  </r>
  <r>
    <n v="680"/>
    <d v="2022-12-01T00:00:00"/>
    <d v="1899-12-30T22:04:00"/>
    <n v="110"/>
    <x v="1"/>
    <x v="21"/>
    <x v="0"/>
    <n v="3"/>
    <n v="300"/>
    <n v="330"/>
    <n v="900"/>
    <x v="0"/>
    <n v="12"/>
    <x v="2"/>
    <n v="1"/>
    <x v="2"/>
    <n v="4"/>
    <n v="570"/>
    <n v="0.63333333300000005"/>
    <n v="1"/>
    <x v="0"/>
  </r>
  <r>
    <n v="770"/>
    <d v="2022-12-11T00:00:00"/>
    <d v="1899-12-30T22:49:00"/>
    <n v="71"/>
    <x v="0"/>
    <x v="37"/>
    <x v="0"/>
    <n v="1"/>
    <n v="50"/>
    <n v="55"/>
    <n v="50"/>
    <x v="0"/>
    <n v="12"/>
    <x v="2"/>
    <n v="11"/>
    <x v="5"/>
    <n v="4"/>
    <n v="-5"/>
    <n v="-0.1"/>
    <n v="0"/>
    <x v="0"/>
  </r>
  <r>
    <n v="1600"/>
    <d v="2022-12-18T00:00:00"/>
    <d v="1899-12-30T17:44:00"/>
    <n v="67"/>
    <x v="1"/>
    <x v="26"/>
    <x v="1"/>
    <n v="2"/>
    <n v="500"/>
    <n v="575"/>
    <n v="1000"/>
    <x v="0"/>
    <n v="12"/>
    <x v="2"/>
    <n v="18"/>
    <x v="5"/>
    <n v="4"/>
    <n v="425"/>
    <n v="0.42499999999999999"/>
    <n v="1"/>
    <x v="0"/>
  </r>
  <r>
    <n v="1680"/>
    <d v="2023-09-03T00:00:00"/>
    <d v="1899-12-30T17:12:00"/>
    <n v="72"/>
    <x v="1"/>
    <x v="21"/>
    <x v="0"/>
    <n v="3"/>
    <n v="300"/>
    <n v="324"/>
    <n v="900"/>
    <x v="1"/>
    <n v="9"/>
    <x v="9"/>
    <n v="3"/>
    <x v="5"/>
    <n v="3"/>
    <n v="576"/>
    <n v="0.64"/>
    <n v="1"/>
    <x v="1"/>
  </r>
  <r>
    <n v="1770"/>
    <d v="2023-11-30T00:00:00"/>
    <d v="1899-12-30T20:08:00"/>
    <n v="65"/>
    <x v="0"/>
    <x v="37"/>
    <x v="0"/>
    <n v="1"/>
    <n v="50"/>
    <n v="56"/>
    <n v="50"/>
    <x v="1"/>
    <n v="11"/>
    <x v="0"/>
    <n v="30"/>
    <x v="2"/>
    <n v="4"/>
    <n v="-6"/>
    <n v="-0.12"/>
    <n v="0"/>
    <x v="0"/>
  </r>
  <r>
    <n v="60"/>
    <d v="2022-12-04T00:00:00"/>
    <d v="1899-12-30T18:15:00"/>
    <n v="91"/>
    <x v="0"/>
    <x v="7"/>
    <x v="1"/>
    <n v="3"/>
    <n v="50"/>
    <n v="60.5"/>
    <n v="150"/>
    <x v="0"/>
    <n v="12"/>
    <x v="2"/>
    <n v="4"/>
    <x v="5"/>
    <n v="4"/>
    <n v="89.5"/>
    <n v="0.59666666700000004"/>
    <n v="1"/>
    <x v="0"/>
  </r>
  <r>
    <n v="250"/>
    <d v="2022-12-24T00:00:00"/>
    <d v="1899-12-30T23:00:00"/>
    <n v="91"/>
    <x v="0"/>
    <x v="42"/>
    <x v="2"/>
    <n v="1"/>
    <n v="50"/>
    <n v="60.5"/>
    <n v="50"/>
    <x v="0"/>
    <n v="12"/>
    <x v="2"/>
    <n v="24"/>
    <x v="0"/>
    <n v="4"/>
    <n v="-10.5"/>
    <n v="-0.21"/>
    <n v="0"/>
    <x v="0"/>
  </r>
  <r>
    <n v="516"/>
    <d v="2023-09-20T00:00:00"/>
    <d v="1899-12-30T18:38:00"/>
    <n v="85"/>
    <x v="0"/>
    <x v="7"/>
    <x v="1"/>
    <n v="4"/>
    <n v="25"/>
    <n v="24.25"/>
    <n v="100"/>
    <x v="1"/>
    <n v="9"/>
    <x v="9"/>
    <n v="20"/>
    <x v="4"/>
    <n v="3"/>
    <n v="75.75"/>
    <n v="0.75749999999999995"/>
    <n v="0"/>
    <x v="1"/>
  </r>
  <r>
    <n v="937"/>
    <d v="2022-10-18T00:00:00"/>
    <d v="1899-12-30T19:57:00"/>
    <n v="50"/>
    <x v="1"/>
    <x v="44"/>
    <x v="1"/>
    <n v="1"/>
    <n v="500"/>
    <n v="510"/>
    <n v="500"/>
    <x v="0"/>
    <n v="10"/>
    <x v="5"/>
    <n v="18"/>
    <x v="6"/>
    <n v="4"/>
    <n v="-10"/>
    <n v="-0.02"/>
    <n v="1"/>
    <x v="0"/>
  </r>
  <r>
    <n v="1060"/>
    <d v="2022-11-12T00:00:00"/>
    <d v="1899-12-30T18:29:00"/>
    <n v="71"/>
    <x v="0"/>
    <x v="7"/>
    <x v="1"/>
    <n v="3"/>
    <n v="50"/>
    <n v="57"/>
    <n v="150"/>
    <x v="0"/>
    <n v="11"/>
    <x v="0"/>
    <n v="12"/>
    <x v="0"/>
    <n v="4"/>
    <n v="93"/>
    <n v="0.62"/>
    <n v="1"/>
    <x v="0"/>
  </r>
  <r>
    <n v="1250"/>
    <d v="2022-11-19T00:00:00"/>
    <d v="1899-12-30T20:39:00"/>
    <n v="96"/>
    <x v="0"/>
    <x v="42"/>
    <x v="2"/>
    <n v="1"/>
    <n v="50"/>
    <n v="48.5"/>
    <n v="50"/>
    <x v="0"/>
    <n v="11"/>
    <x v="0"/>
    <n v="19"/>
    <x v="0"/>
    <n v="4"/>
    <n v="1.5"/>
    <n v="0.03"/>
    <n v="0"/>
    <x v="0"/>
  </r>
  <r>
    <n v="1516"/>
    <d v="2022-11-09T00:00:00"/>
    <d v="1899-12-30T17:19:00"/>
    <n v="54"/>
    <x v="0"/>
    <x v="7"/>
    <x v="1"/>
    <n v="4"/>
    <n v="25"/>
    <n v="24.5"/>
    <n v="100"/>
    <x v="0"/>
    <n v="11"/>
    <x v="0"/>
    <n v="9"/>
    <x v="4"/>
    <n v="4"/>
    <n v="75.5"/>
    <n v="0.755"/>
    <n v="0"/>
    <x v="0"/>
  </r>
  <r>
    <n v="1937"/>
    <d v="2022-09-07T00:00:00"/>
    <d v="1899-12-30T17:57:00"/>
    <n v="52"/>
    <x v="1"/>
    <x v="44"/>
    <x v="1"/>
    <n v="1"/>
    <n v="500"/>
    <n v="620"/>
    <n v="500"/>
    <x v="0"/>
    <n v="9"/>
    <x v="9"/>
    <n v="7"/>
    <x v="4"/>
    <n v="3"/>
    <n v="-120"/>
    <n v="-0.24"/>
    <n v="1"/>
    <x v="1"/>
  </r>
  <r>
    <n v="318"/>
    <d v="2023-10-22T00:00:00"/>
    <d v="1899-12-30T21:26:00"/>
    <n v="57"/>
    <x v="0"/>
    <x v="45"/>
    <x v="0"/>
    <n v="1"/>
    <n v="25"/>
    <n v="29.25"/>
    <n v="25"/>
    <x v="1"/>
    <n v="10"/>
    <x v="5"/>
    <n v="22"/>
    <x v="5"/>
    <n v="4"/>
    <n v="-4.25"/>
    <n v="-0.17"/>
    <n v="0"/>
    <x v="0"/>
  </r>
  <r>
    <n v="342"/>
    <d v="2023-11-05T00:00:00"/>
    <d v="1899-12-30T17:24:00"/>
    <n v="85"/>
    <x v="1"/>
    <x v="22"/>
    <x v="0"/>
    <n v="4"/>
    <n v="500"/>
    <n v="500"/>
    <n v="2000"/>
    <x v="1"/>
    <n v="11"/>
    <x v="0"/>
    <n v="5"/>
    <x v="5"/>
    <n v="4"/>
    <n v="1500"/>
    <n v="0.75"/>
    <n v="1"/>
    <x v="0"/>
  </r>
  <r>
    <n v="564"/>
    <d v="2023-09-12T00:00:00"/>
    <d v="1899-12-30T20:14:00"/>
    <n v="114"/>
    <x v="0"/>
    <x v="20"/>
    <x v="2"/>
    <n v="2"/>
    <n v="50"/>
    <n v="55.5"/>
    <n v="100"/>
    <x v="1"/>
    <n v="9"/>
    <x v="9"/>
    <n v="12"/>
    <x v="6"/>
    <n v="3"/>
    <n v="44.5"/>
    <n v="0.44500000000000001"/>
    <n v="0"/>
    <x v="1"/>
  </r>
  <r>
    <n v="767"/>
    <d v="2022-11-07T00:00:00"/>
    <d v="1899-12-30T22:44:00"/>
    <n v="72"/>
    <x v="0"/>
    <x v="27"/>
    <x v="1"/>
    <n v="3"/>
    <n v="25"/>
    <n v="24.5"/>
    <n v="75"/>
    <x v="0"/>
    <n v="11"/>
    <x v="0"/>
    <n v="7"/>
    <x v="1"/>
    <n v="4"/>
    <n v="50.5"/>
    <n v="0.67333333299999998"/>
    <n v="0"/>
    <x v="0"/>
  </r>
  <r>
    <n v="1318"/>
    <d v="2022-12-25T00:00:00"/>
    <d v="1899-12-30T22:57:00"/>
    <n v="55"/>
    <x v="0"/>
    <x v="45"/>
    <x v="0"/>
    <n v="1"/>
    <n v="25"/>
    <n v="27"/>
    <n v="25"/>
    <x v="0"/>
    <n v="12"/>
    <x v="2"/>
    <n v="25"/>
    <x v="5"/>
    <n v="4"/>
    <n v="-2"/>
    <n v="-0.08"/>
    <n v="0"/>
    <x v="0"/>
  </r>
  <r>
    <n v="1342"/>
    <d v="2022-09-18T00:00:00"/>
    <d v="1899-12-30T23:00:00"/>
    <n v="114"/>
    <x v="1"/>
    <x v="22"/>
    <x v="0"/>
    <n v="4"/>
    <n v="500"/>
    <n v="485"/>
    <n v="2000"/>
    <x v="0"/>
    <n v="9"/>
    <x v="9"/>
    <n v="18"/>
    <x v="5"/>
    <n v="3"/>
    <n v="1515"/>
    <n v="0.75749999999999995"/>
    <n v="1"/>
    <x v="1"/>
  </r>
  <r>
    <n v="1564"/>
    <d v="2022-10-04T00:00:00"/>
    <d v="1899-12-30T22:55:00"/>
    <n v="115"/>
    <x v="0"/>
    <x v="20"/>
    <x v="2"/>
    <n v="2"/>
    <n v="50"/>
    <n v="49.5"/>
    <n v="100"/>
    <x v="0"/>
    <n v="10"/>
    <x v="5"/>
    <n v="4"/>
    <x v="6"/>
    <n v="4"/>
    <n v="50.5"/>
    <n v="0.505"/>
    <n v="0"/>
    <x v="0"/>
  </r>
  <r>
    <n v="1767"/>
    <d v="2022-12-10T00:00:00"/>
    <d v="1899-12-30T17:35:00"/>
    <n v="87"/>
    <x v="0"/>
    <x v="27"/>
    <x v="1"/>
    <n v="3"/>
    <n v="25"/>
    <n v="28.25"/>
    <n v="75"/>
    <x v="0"/>
    <n v="12"/>
    <x v="2"/>
    <n v="10"/>
    <x v="0"/>
    <n v="4"/>
    <n v="46.75"/>
    <n v="0.62333333300000004"/>
    <n v="0"/>
    <x v="0"/>
  </r>
  <r>
    <n v="503"/>
    <d v="2023-10-08T00:00:00"/>
    <d v="1899-12-30T20:06:00"/>
    <n v="63"/>
    <x v="0"/>
    <x v="14"/>
    <x v="1"/>
    <n v="4"/>
    <n v="500"/>
    <n v="570"/>
    <n v="2000"/>
    <x v="1"/>
    <n v="10"/>
    <x v="5"/>
    <n v="8"/>
    <x v="5"/>
    <n v="4"/>
    <n v="1430"/>
    <n v="0.71499999999999997"/>
    <n v="1"/>
    <x v="0"/>
  </r>
  <r>
    <n v="869"/>
    <d v="2022-09-08T00:00:00"/>
    <d v="1899-12-30T22:16:00"/>
    <n v="51"/>
    <x v="0"/>
    <x v="5"/>
    <x v="1"/>
    <n v="3"/>
    <n v="500"/>
    <n v="485"/>
    <n v="1500"/>
    <x v="0"/>
    <n v="9"/>
    <x v="9"/>
    <n v="8"/>
    <x v="2"/>
    <n v="3"/>
    <n v="1015"/>
    <n v="0.676666667"/>
    <n v="1"/>
    <x v="1"/>
  </r>
  <r>
    <n v="1503"/>
    <d v="2022-10-17T00:00:00"/>
    <d v="1899-12-30T18:28:00"/>
    <n v="67"/>
    <x v="0"/>
    <x v="14"/>
    <x v="1"/>
    <n v="4"/>
    <n v="500"/>
    <n v="605"/>
    <n v="2000"/>
    <x v="0"/>
    <n v="10"/>
    <x v="5"/>
    <n v="17"/>
    <x v="1"/>
    <n v="4"/>
    <n v="1395"/>
    <n v="0.69750000000000001"/>
    <n v="1"/>
    <x v="0"/>
  </r>
  <r>
    <n v="1869"/>
    <d v="2022-10-23T00:00:00"/>
    <d v="1899-12-30T19:51:00"/>
    <n v="113"/>
    <x v="0"/>
    <x v="5"/>
    <x v="1"/>
    <n v="3"/>
    <n v="500"/>
    <n v="605"/>
    <n v="1500"/>
    <x v="0"/>
    <n v="10"/>
    <x v="5"/>
    <n v="23"/>
    <x v="5"/>
    <n v="4"/>
    <n v="895"/>
    <n v="0.59666666700000004"/>
    <n v="1"/>
    <x v="0"/>
  </r>
  <r>
    <n v="126"/>
    <d v="2022-11-01T00:00:00"/>
    <d v="1899-12-30T18:16:00"/>
    <n v="63"/>
    <x v="1"/>
    <x v="32"/>
    <x v="0"/>
    <n v="3"/>
    <n v="30"/>
    <n v="28.8"/>
    <n v="90"/>
    <x v="0"/>
    <n v="11"/>
    <x v="0"/>
    <n v="1"/>
    <x v="6"/>
    <n v="4"/>
    <n v="61.2"/>
    <n v="0.68"/>
    <n v="0"/>
    <x v="0"/>
  </r>
  <r>
    <n v="349"/>
    <d v="2023-12-04T00:00:00"/>
    <d v="1899-12-30T17:05:00"/>
    <n v="78"/>
    <x v="1"/>
    <x v="10"/>
    <x v="1"/>
    <n v="1"/>
    <n v="50"/>
    <n v="48.5"/>
    <n v="50"/>
    <x v="1"/>
    <n v="12"/>
    <x v="2"/>
    <n v="4"/>
    <x v="1"/>
    <n v="4"/>
    <n v="1.5"/>
    <n v="0.03"/>
    <n v="0"/>
    <x v="0"/>
  </r>
  <r>
    <n v="440"/>
    <d v="2023-11-22T00:00:00"/>
    <d v="1899-12-30T20:15:00"/>
    <n v="110"/>
    <x v="0"/>
    <x v="3"/>
    <x v="0"/>
    <n v="2"/>
    <n v="300"/>
    <n v="348"/>
    <n v="600"/>
    <x v="1"/>
    <n v="11"/>
    <x v="0"/>
    <n v="22"/>
    <x v="4"/>
    <n v="4"/>
    <n v="252"/>
    <n v="0.42"/>
    <n v="1"/>
    <x v="0"/>
  </r>
  <r>
    <n v="1126"/>
    <d v="2022-09-12T00:00:00"/>
    <d v="1899-12-30T17:12:00"/>
    <n v="62"/>
    <x v="1"/>
    <x v="32"/>
    <x v="0"/>
    <n v="3"/>
    <n v="30"/>
    <n v="28.8"/>
    <n v="90"/>
    <x v="0"/>
    <n v="9"/>
    <x v="9"/>
    <n v="12"/>
    <x v="1"/>
    <n v="3"/>
    <n v="61.2"/>
    <n v="0.68"/>
    <n v="0"/>
    <x v="1"/>
  </r>
  <r>
    <n v="1349"/>
    <d v="2023-12-08T00:00:00"/>
    <d v="1899-12-30T21:57:00"/>
    <n v="112"/>
    <x v="1"/>
    <x v="10"/>
    <x v="1"/>
    <n v="1"/>
    <n v="50"/>
    <n v="49.5"/>
    <n v="50"/>
    <x v="1"/>
    <n v="12"/>
    <x v="2"/>
    <n v="8"/>
    <x v="3"/>
    <n v="4"/>
    <n v="0.5"/>
    <n v="0.01"/>
    <n v="0"/>
    <x v="0"/>
  </r>
  <r>
    <n v="1440"/>
    <d v="2023-09-01T00:00:00"/>
    <d v="1899-12-30T19:20:00"/>
    <n v="86"/>
    <x v="0"/>
    <x v="3"/>
    <x v="0"/>
    <n v="2"/>
    <n v="300"/>
    <n v="354"/>
    <n v="600"/>
    <x v="1"/>
    <n v="9"/>
    <x v="9"/>
    <n v="1"/>
    <x v="3"/>
    <n v="3"/>
    <n v="246"/>
    <n v="0.41"/>
    <n v="1"/>
    <x v="1"/>
  </r>
  <r>
    <n v="124"/>
    <d v="2022-12-24T00:00:00"/>
    <d v="1899-12-30T21:17:00"/>
    <n v="83"/>
    <x v="0"/>
    <x v="19"/>
    <x v="0"/>
    <n v="4"/>
    <n v="500"/>
    <n v="515"/>
    <n v="2000"/>
    <x v="0"/>
    <n v="12"/>
    <x v="2"/>
    <n v="24"/>
    <x v="0"/>
    <n v="4"/>
    <n v="1485"/>
    <n v="0.74250000000000005"/>
    <n v="1"/>
    <x v="0"/>
  </r>
  <r>
    <n v="324"/>
    <d v="2022-11-15T00:00:00"/>
    <d v="1899-12-30T17:52:00"/>
    <n v="54"/>
    <x v="1"/>
    <x v="41"/>
    <x v="2"/>
    <n v="3"/>
    <n v="50"/>
    <n v="49"/>
    <n v="150"/>
    <x v="0"/>
    <n v="11"/>
    <x v="0"/>
    <n v="15"/>
    <x v="6"/>
    <n v="4"/>
    <n v="101"/>
    <n v="0.67333333299999998"/>
    <n v="1"/>
    <x v="0"/>
  </r>
  <r>
    <n v="677"/>
    <d v="2022-12-17T00:00:00"/>
    <d v="1899-12-30T21:13:00"/>
    <n v="65"/>
    <x v="1"/>
    <x v="4"/>
    <x v="1"/>
    <n v="3"/>
    <n v="500"/>
    <n v="555"/>
    <n v="1500"/>
    <x v="0"/>
    <n v="12"/>
    <x v="2"/>
    <n v="17"/>
    <x v="0"/>
    <n v="4"/>
    <n v="945"/>
    <n v="0.63"/>
    <n v="1"/>
    <x v="0"/>
  </r>
  <r>
    <n v="1124"/>
    <d v="2023-10-06T00:00:00"/>
    <d v="1899-12-30T20:04:00"/>
    <n v="83"/>
    <x v="0"/>
    <x v="19"/>
    <x v="0"/>
    <n v="4"/>
    <n v="500"/>
    <n v="515"/>
    <n v="2000"/>
    <x v="1"/>
    <n v="10"/>
    <x v="5"/>
    <n v="6"/>
    <x v="3"/>
    <n v="4"/>
    <n v="1485"/>
    <n v="0.74250000000000005"/>
    <n v="1"/>
    <x v="0"/>
  </r>
  <r>
    <n v="1324"/>
    <d v="2023-09-25T00:00:00"/>
    <d v="1899-12-30T20:29:00"/>
    <n v="56"/>
    <x v="1"/>
    <x v="41"/>
    <x v="2"/>
    <n v="3"/>
    <n v="50"/>
    <n v="55"/>
    <n v="150"/>
    <x v="1"/>
    <n v="9"/>
    <x v="9"/>
    <n v="25"/>
    <x v="1"/>
    <n v="3"/>
    <n v="95"/>
    <n v="0.63333333300000005"/>
    <n v="1"/>
    <x v="1"/>
  </r>
  <r>
    <n v="1677"/>
    <d v="2022-10-02T00:00:00"/>
    <d v="1899-12-30T20:51:00"/>
    <n v="84"/>
    <x v="1"/>
    <x v="4"/>
    <x v="1"/>
    <n v="3"/>
    <n v="500"/>
    <n v="490"/>
    <n v="1500"/>
    <x v="0"/>
    <n v="10"/>
    <x v="5"/>
    <n v="2"/>
    <x v="5"/>
    <n v="4"/>
    <n v="1010"/>
    <n v="0.67333333299999998"/>
    <n v="1"/>
    <x v="0"/>
  </r>
  <r>
    <n v="30"/>
    <d v="2023-10-10T00:00:00"/>
    <d v="1899-12-30T20:05:00"/>
    <n v="59"/>
    <x v="1"/>
    <x v="27"/>
    <x v="1"/>
    <n v="3"/>
    <n v="300"/>
    <n v="285"/>
    <n v="900"/>
    <x v="1"/>
    <n v="10"/>
    <x v="5"/>
    <n v="10"/>
    <x v="6"/>
    <n v="4"/>
    <n v="615"/>
    <n v="0.68333333299999999"/>
    <n v="1"/>
    <x v="0"/>
  </r>
  <r>
    <n v="226"/>
    <d v="2022-09-23T00:00:00"/>
    <d v="1899-12-30T17:02:00"/>
    <n v="69"/>
    <x v="1"/>
    <x v="45"/>
    <x v="0"/>
    <n v="1"/>
    <n v="50"/>
    <n v="57.5"/>
    <n v="50"/>
    <x v="0"/>
    <n v="9"/>
    <x v="9"/>
    <n v="23"/>
    <x v="3"/>
    <n v="3"/>
    <n v="-7.5"/>
    <n v="-0.15"/>
    <n v="0"/>
    <x v="1"/>
  </r>
  <r>
    <n v="229"/>
    <d v="2023-11-09T00:00:00"/>
    <d v="1899-12-30T19:23:00"/>
    <n v="92"/>
    <x v="0"/>
    <x v="43"/>
    <x v="1"/>
    <n v="3"/>
    <n v="30"/>
    <n v="36.9"/>
    <n v="90"/>
    <x v="1"/>
    <n v="11"/>
    <x v="0"/>
    <n v="9"/>
    <x v="2"/>
    <n v="4"/>
    <n v="53.1"/>
    <n v="0.59"/>
    <n v="0"/>
    <x v="0"/>
  </r>
  <r>
    <n v="896"/>
    <d v="2023-12-30T00:00:00"/>
    <d v="1899-12-30T19:17:00"/>
    <n v="56"/>
    <x v="1"/>
    <x v="7"/>
    <x v="2"/>
    <n v="2"/>
    <n v="25"/>
    <n v="30.75"/>
    <n v="50"/>
    <x v="1"/>
    <n v="12"/>
    <x v="2"/>
    <n v="30"/>
    <x v="0"/>
    <n v="4"/>
    <n v="19.25"/>
    <n v="0.38500000000000001"/>
    <n v="0"/>
    <x v="0"/>
  </r>
  <r>
    <n v="959"/>
    <d v="2022-09-18T00:00:00"/>
    <d v="1899-12-30T17:59:00"/>
    <n v="54"/>
    <x v="1"/>
    <x v="25"/>
    <x v="2"/>
    <n v="2"/>
    <n v="30"/>
    <n v="28.5"/>
    <n v="60"/>
    <x v="0"/>
    <n v="9"/>
    <x v="9"/>
    <n v="18"/>
    <x v="5"/>
    <n v="3"/>
    <n v="31.5"/>
    <n v="0.52500000000000002"/>
    <n v="0"/>
    <x v="1"/>
  </r>
  <r>
    <n v="998"/>
    <d v="2023-10-21T00:00:00"/>
    <d v="1899-12-30T17:32:00"/>
    <n v="61"/>
    <x v="1"/>
    <x v="8"/>
    <x v="1"/>
    <n v="4"/>
    <n v="25"/>
    <n v="30.5"/>
    <n v="100"/>
    <x v="1"/>
    <n v="10"/>
    <x v="5"/>
    <n v="21"/>
    <x v="0"/>
    <n v="4"/>
    <n v="69.5"/>
    <n v="0.69499999999999995"/>
    <n v="0"/>
    <x v="0"/>
  </r>
  <r>
    <n v="1030"/>
    <d v="2022-11-27T00:00:00"/>
    <d v="1899-12-30T18:02:00"/>
    <n v="96"/>
    <x v="1"/>
    <x v="27"/>
    <x v="1"/>
    <n v="3"/>
    <n v="300"/>
    <n v="309"/>
    <n v="900"/>
    <x v="0"/>
    <n v="11"/>
    <x v="0"/>
    <n v="27"/>
    <x v="5"/>
    <n v="4"/>
    <n v="591"/>
    <n v="0.65666666699999998"/>
    <n v="1"/>
    <x v="0"/>
  </r>
  <r>
    <n v="1226"/>
    <d v="2023-11-30T00:00:00"/>
    <d v="1899-12-30T17:52:00"/>
    <n v="102"/>
    <x v="1"/>
    <x v="45"/>
    <x v="0"/>
    <n v="1"/>
    <n v="50"/>
    <n v="51"/>
    <n v="50"/>
    <x v="1"/>
    <n v="11"/>
    <x v="0"/>
    <n v="30"/>
    <x v="2"/>
    <n v="4"/>
    <n v="-1"/>
    <n v="-0.02"/>
    <n v="0"/>
    <x v="0"/>
  </r>
  <r>
    <n v="1229"/>
    <d v="2023-11-02T00:00:00"/>
    <d v="1899-12-30T21:08:00"/>
    <n v="62"/>
    <x v="0"/>
    <x v="43"/>
    <x v="1"/>
    <n v="3"/>
    <n v="30"/>
    <n v="34.5"/>
    <n v="90"/>
    <x v="1"/>
    <n v="11"/>
    <x v="0"/>
    <n v="2"/>
    <x v="2"/>
    <n v="4"/>
    <n v="55.5"/>
    <n v="0.61666666699999995"/>
    <n v="0"/>
    <x v="0"/>
  </r>
  <r>
    <n v="1896"/>
    <d v="2022-11-05T00:00:00"/>
    <d v="1899-12-30T20:19:00"/>
    <n v="87"/>
    <x v="1"/>
    <x v="7"/>
    <x v="2"/>
    <n v="2"/>
    <n v="25"/>
    <n v="30.75"/>
    <n v="50"/>
    <x v="0"/>
    <n v="11"/>
    <x v="0"/>
    <n v="5"/>
    <x v="0"/>
    <n v="4"/>
    <n v="19.25"/>
    <n v="0.38500000000000001"/>
    <n v="0"/>
    <x v="0"/>
  </r>
  <r>
    <n v="1959"/>
    <d v="2022-10-08T00:00:00"/>
    <d v="1899-12-30T19:56:00"/>
    <n v="95"/>
    <x v="1"/>
    <x v="25"/>
    <x v="2"/>
    <n v="2"/>
    <n v="30"/>
    <n v="34.200000000000003"/>
    <n v="60"/>
    <x v="0"/>
    <n v="10"/>
    <x v="5"/>
    <n v="8"/>
    <x v="0"/>
    <n v="4"/>
    <n v="25.8"/>
    <n v="0.43"/>
    <n v="0"/>
    <x v="0"/>
  </r>
  <r>
    <n v="1998"/>
    <d v="2023-10-20T00:00:00"/>
    <d v="1899-12-30T19:53:00"/>
    <n v="90"/>
    <x v="1"/>
    <x v="8"/>
    <x v="1"/>
    <n v="4"/>
    <n v="25"/>
    <n v="24"/>
    <n v="100"/>
    <x v="1"/>
    <n v="10"/>
    <x v="5"/>
    <n v="20"/>
    <x v="3"/>
    <n v="4"/>
    <n v="76"/>
    <n v="0.76"/>
    <n v="0"/>
    <x v="0"/>
  </r>
  <r>
    <n v="12"/>
    <d v="2022-12-09T00:00:00"/>
    <d v="1899-12-30T22:09:00"/>
    <n v="114"/>
    <x v="0"/>
    <x v="39"/>
    <x v="1"/>
    <n v="3"/>
    <n v="25"/>
    <n v="25.25"/>
    <n v="75"/>
    <x v="0"/>
    <n v="12"/>
    <x v="2"/>
    <n v="9"/>
    <x v="3"/>
    <n v="4"/>
    <n v="49.75"/>
    <n v="0.66333333299999997"/>
    <n v="0"/>
    <x v="0"/>
  </r>
  <r>
    <n v="1012"/>
    <d v="2022-12-08T00:00:00"/>
    <d v="1899-12-30T18:47:00"/>
    <n v="56"/>
    <x v="0"/>
    <x v="39"/>
    <x v="1"/>
    <n v="3"/>
    <n v="25"/>
    <n v="27.25"/>
    <n v="75"/>
    <x v="0"/>
    <n v="12"/>
    <x v="2"/>
    <n v="8"/>
    <x v="2"/>
    <n v="4"/>
    <n v="47.75"/>
    <n v="0.63666666699999996"/>
    <n v="0"/>
    <x v="0"/>
  </r>
  <r>
    <n v="710"/>
    <d v="2022-09-03T00:00:00"/>
    <d v="1899-12-30T21:11:00"/>
    <n v="71"/>
    <x v="1"/>
    <x v="6"/>
    <x v="2"/>
    <n v="3"/>
    <n v="500"/>
    <n v="495"/>
    <n v="1500"/>
    <x v="0"/>
    <n v="9"/>
    <x v="9"/>
    <n v="3"/>
    <x v="0"/>
    <n v="3"/>
    <n v="1005"/>
    <n v="0.67"/>
    <n v="1"/>
    <x v="1"/>
  </r>
  <r>
    <n v="776"/>
    <d v="2023-09-08T00:00:00"/>
    <d v="1899-12-30T18:57:00"/>
    <n v="109"/>
    <x v="0"/>
    <x v="39"/>
    <x v="0"/>
    <n v="3"/>
    <n v="30"/>
    <n v="30.9"/>
    <n v="90"/>
    <x v="1"/>
    <n v="9"/>
    <x v="9"/>
    <n v="8"/>
    <x v="3"/>
    <n v="3"/>
    <n v="59.1"/>
    <n v="0.65666666699999998"/>
    <n v="0"/>
    <x v="1"/>
  </r>
  <r>
    <n v="817"/>
    <d v="2022-10-05T00:00:00"/>
    <d v="1899-12-30T21:12:00"/>
    <n v="87"/>
    <x v="0"/>
    <x v="7"/>
    <x v="1"/>
    <n v="4"/>
    <n v="50"/>
    <n v="49"/>
    <n v="200"/>
    <x v="0"/>
    <n v="10"/>
    <x v="5"/>
    <n v="5"/>
    <x v="4"/>
    <n v="4"/>
    <n v="151"/>
    <n v="0.755"/>
    <n v="1"/>
    <x v="0"/>
  </r>
  <r>
    <n v="1710"/>
    <d v="2022-10-23T00:00:00"/>
    <d v="1899-12-30T20:14:00"/>
    <n v="104"/>
    <x v="1"/>
    <x v="6"/>
    <x v="2"/>
    <n v="3"/>
    <n v="500"/>
    <n v="610"/>
    <n v="1500"/>
    <x v="0"/>
    <n v="10"/>
    <x v="5"/>
    <n v="23"/>
    <x v="5"/>
    <n v="4"/>
    <n v="890"/>
    <n v="0.59333333300000002"/>
    <n v="1"/>
    <x v="0"/>
  </r>
  <r>
    <n v="1776"/>
    <d v="2022-10-23T00:00:00"/>
    <d v="1899-12-30T20:07:00"/>
    <n v="111"/>
    <x v="0"/>
    <x v="39"/>
    <x v="0"/>
    <n v="3"/>
    <n v="30"/>
    <n v="32.1"/>
    <n v="90"/>
    <x v="0"/>
    <n v="10"/>
    <x v="5"/>
    <n v="23"/>
    <x v="5"/>
    <n v="4"/>
    <n v="57.9"/>
    <n v="0.64333333299999995"/>
    <n v="0"/>
    <x v="0"/>
  </r>
  <r>
    <n v="1817"/>
    <d v="2022-09-11T00:00:00"/>
    <d v="1899-12-30T21:22:00"/>
    <n v="82"/>
    <x v="0"/>
    <x v="7"/>
    <x v="1"/>
    <n v="4"/>
    <n v="50"/>
    <n v="50"/>
    <n v="200"/>
    <x v="0"/>
    <n v="9"/>
    <x v="9"/>
    <n v="11"/>
    <x v="5"/>
    <n v="3"/>
    <n v="150"/>
    <n v="0.75"/>
    <n v="1"/>
    <x v="1"/>
  </r>
  <r>
    <n v="334"/>
    <d v="2022-10-16T00:00:00"/>
    <d v="1899-12-30T20:37:00"/>
    <n v="103"/>
    <x v="0"/>
    <x v="16"/>
    <x v="2"/>
    <n v="3"/>
    <n v="300"/>
    <n v="360"/>
    <n v="900"/>
    <x v="0"/>
    <n v="10"/>
    <x v="5"/>
    <n v="16"/>
    <x v="5"/>
    <n v="4"/>
    <n v="540"/>
    <n v="0.6"/>
    <n v="1"/>
    <x v="0"/>
  </r>
  <r>
    <n v="343"/>
    <d v="2022-11-09T00:00:00"/>
    <d v="1899-12-30T18:44:00"/>
    <n v="68"/>
    <x v="0"/>
    <x v="40"/>
    <x v="2"/>
    <n v="2"/>
    <n v="25"/>
    <n v="30"/>
    <n v="50"/>
    <x v="0"/>
    <n v="11"/>
    <x v="0"/>
    <n v="9"/>
    <x v="4"/>
    <n v="4"/>
    <n v="20"/>
    <n v="0.4"/>
    <n v="0"/>
    <x v="0"/>
  </r>
  <r>
    <n v="628"/>
    <d v="2023-12-23T00:00:00"/>
    <d v="1899-12-30T18:00:00"/>
    <n v="66"/>
    <x v="1"/>
    <x v="4"/>
    <x v="1"/>
    <n v="4"/>
    <n v="50"/>
    <n v="59.5"/>
    <n v="200"/>
    <x v="1"/>
    <n v="12"/>
    <x v="2"/>
    <n v="23"/>
    <x v="0"/>
    <n v="4"/>
    <n v="140.5"/>
    <n v="0.70250000000000001"/>
    <n v="1"/>
    <x v="0"/>
  </r>
  <r>
    <n v="983"/>
    <d v="2022-10-10T00:00:00"/>
    <d v="1899-12-30T20:12:00"/>
    <n v="61"/>
    <x v="1"/>
    <x v="33"/>
    <x v="0"/>
    <n v="1"/>
    <n v="300"/>
    <n v="345"/>
    <n v="300"/>
    <x v="0"/>
    <n v="10"/>
    <x v="5"/>
    <n v="10"/>
    <x v="1"/>
    <n v="4"/>
    <n v="-45"/>
    <n v="-0.15"/>
    <n v="1"/>
    <x v="0"/>
  </r>
  <r>
    <n v="1334"/>
    <d v="2022-09-21T00:00:00"/>
    <d v="1899-12-30T20:37:00"/>
    <n v="60"/>
    <x v="0"/>
    <x v="16"/>
    <x v="2"/>
    <n v="3"/>
    <n v="300"/>
    <n v="366"/>
    <n v="900"/>
    <x v="0"/>
    <n v="9"/>
    <x v="9"/>
    <n v="21"/>
    <x v="4"/>
    <n v="3"/>
    <n v="534"/>
    <n v="0.59333333300000002"/>
    <n v="1"/>
    <x v="1"/>
  </r>
  <r>
    <n v="1343"/>
    <d v="2023-10-21T00:00:00"/>
    <d v="1899-12-30T20:10:00"/>
    <n v="87"/>
    <x v="0"/>
    <x v="40"/>
    <x v="2"/>
    <n v="2"/>
    <n v="25"/>
    <n v="28.5"/>
    <n v="50"/>
    <x v="1"/>
    <n v="10"/>
    <x v="5"/>
    <n v="21"/>
    <x v="0"/>
    <n v="4"/>
    <n v="21.5"/>
    <n v="0.43"/>
    <n v="0"/>
    <x v="0"/>
  </r>
  <r>
    <n v="1628"/>
    <d v="2022-12-28T00:00:00"/>
    <d v="1899-12-30T22:23:00"/>
    <n v="51"/>
    <x v="1"/>
    <x v="4"/>
    <x v="1"/>
    <n v="4"/>
    <n v="50"/>
    <n v="58.5"/>
    <n v="200"/>
    <x v="0"/>
    <n v="12"/>
    <x v="2"/>
    <n v="28"/>
    <x v="4"/>
    <n v="4"/>
    <n v="141.5"/>
    <n v="0.70750000000000002"/>
    <n v="1"/>
    <x v="0"/>
  </r>
  <r>
    <n v="1983"/>
    <d v="2022-12-21T00:00:00"/>
    <d v="1899-12-30T21:38:00"/>
    <n v="114"/>
    <x v="1"/>
    <x v="33"/>
    <x v="0"/>
    <n v="1"/>
    <n v="300"/>
    <n v="303"/>
    <n v="300"/>
    <x v="0"/>
    <n v="12"/>
    <x v="2"/>
    <n v="21"/>
    <x v="4"/>
    <n v="4"/>
    <n v="-3"/>
    <n v="-0.01"/>
    <n v="1"/>
    <x v="0"/>
  </r>
  <r>
    <n v="141"/>
    <d v="2022-11-01T00:00:00"/>
    <d v="1899-12-30T19:26:00"/>
    <n v="54"/>
    <x v="1"/>
    <x v="30"/>
    <x v="2"/>
    <n v="1"/>
    <n v="50"/>
    <n v="59"/>
    <n v="50"/>
    <x v="0"/>
    <n v="11"/>
    <x v="0"/>
    <n v="1"/>
    <x v="6"/>
    <n v="4"/>
    <n v="-9"/>
    <n v="-0.18"/>
    <n v="0"/>
    <x v="0"/>
  </r>
  <r>
    <n v="145"/>
    <d v="2022-11-06T00:00:00"/>
    <d v="1899-12-30T19:21:00"/>
    <n v="64"/>
    <x v="1"/>
    <x v="27"/>
    <x v="0"/>
    <n v="3"/>
    <n v="25"/>
    <n v="27.5"/>
    <n v="75"/>
    <x v="0"/>
    <n v="11"/>
    <x v="0"/>
    <n v="6"/>
    <x v="5"/>
    <n v="4"/>
    <n v="47.5"/>
    <n v="0.63333333300000005"/>
    <n v="0"/>
    <x v="0"/>
  </r>
  <r>
    <n v="507"/>
    <d v="2022-12-11T00:00:00"/>
    <d v="1899-12-30T21:40:00"/>
    <n v="52"/>
    <x v="1"/>
    <x v="5"/>
    <x v="2"/>
    <n v="3"/>
    <n v="500"/>
    <n v="485"/>
    <n v="1500"/>
    <x v="0"/>
    <n v="12"/>
    <x v="2"/>
    <n v="11"/>
    <x v="5"/>
    <n v="4"/>
    <n v="1015"/>
    <n v="0.676666667"/>
    <n v="1"/>
    <x v="0"/>
  </r>
  <r>
    <n v="841"/>
    <d v="2022-12-18T00:00:00"/>
    <d v="1899-12-30T20:58:00"/>
    <n v="108"/>
    <x v="0"/>
    <x v="16"/>
    <x v="2"/>
    <n v="4"/>
    <n v="25"/>
    <n v="28.5"/>
    <n v="100"/>
    <x v="0"/>
    <n v="12"/>
    <x v="2"/>
    <n v="18"/>
    <x v="5"/>
    <n v="4"/>
    <n v="71.5"/>
    <n v="0.71499999999999997"/>
    <n v="0"/>
    <x v="0"/>
  </r>
  <r>
    <n v="898"/>
    <d v="2023-09-17T00:00:00"/>
    <d v="1899-12-30T20:55:00"/>
    <n v="53"/>
    <x v="1"/>
    <x v="25"/>
    <x v="0"/>
    <n v="3"/>
    <n v="30"/>
    <n v="35.1"/>
    <n v="90"/>
    <x v="1"/>
    <n v="9"/>
    <x v="9"/>
    <n v="17"/>
    <x v="5"/>
    <n v="3"/>
    <n v="54.9"/>
    <n v="0.61"/>
    <n v="0"/>
    <x v="1"/>
  </r>
  <r>
    <n v="951"/>
    <d v="2022-09-18T00:00:00"/>
    <d v="1899-12-30T21:35:00"/>
    <n v="58"/>
    <x v="0"/>
    <x v="19"/>
    <x v="1"/>
    <n v="2"/>
    <n v="50"/>
    <n v="57.5"/>
    <n v="100"/>
    <x v="0"/>
    <n v="9"/>
    <x v="9"/>
    <n v="18"/>
    <x v="5"/>
    <n v="3"/>
    <n v="42.5"/>
    <n v="0.42499999999999999"/>
    <n v="0"/>
    <x v="1"/>
  </r>
  <r>
    <n v="1141"/>
    <d v="2023-09-17T00:00:00"/>
    <d v="1899-12-30T19:13:00"/>
    <n v="65"/>
    <x v="1"/>
    <x v="30"/>
    <x v="2"/>
    <n v="1"/>
    <n v="50"/>
    <n v="58"/>
    <n v="50"/>
    <x v="1"/>
    <n v="9"/>
    <x v="9"/>
    <n v="17"/>
    <x v="5"/>
    <n v="3"/>
    <n v="-8"/>
    <n v="-0.16"/>
    <n v="0"/>
    <x v="1"/>
  </r>
  <r>
    <n v="1145"/>
    <d v="2023-09-01T00:00:00"/>
    <d v="1899-12-30T19:19:00"/>
    <n v="87"/>
    <x v="1"/>
    <x v="27"/>
    <x v="0"/>
    <n v="3"/>
    <n v="25"/>
    <n v="31"/>
    <n v="75"/>
    <x v="1"/>
    <n v="9"/>
    <x v="9"/>
    <n v="1"/>
    <x v="3"/>
    <n v="3"/>
    <n v="44"/>
    <n v="0.58666666700000003"/>
    <n v="0"/>
    <x v="1"/>
  </r>
  <r>
    <n v="1507"/>
    <d v="2022-12-27T00:00:00"/>
    <d v="1899-12-30T22:14:00"/>
    <n v="95"/>
    <x v="1"/>
    <x v="5"/>
    <x v="2"/>
    <n v="3"/>
    <n v="500"/>
    <n v="520"/>
    <n v="1500"/>
    <x v="0"/>
    <n v="12"/>
    <x v="2"/>
    <n v="27"/>
    <x v="6"/>
    <n v="4"/>
    <n v="980"/>
    <n v="0.65333333299999996"/>
    <n v="1"/>
    <x v="0"/>
  </r>
  <r>
    <n v="1841"/>
    <d v="2023-11-14T00:00:00"/>
    <d v="1899-12-30T18:55:00"/>
    <n v="94"/>
    <x v="0"/>
    <x v="16"/>
    <x v="2"/>
    <n v="4"/>
    <n v="25"/>
    <n v="28.25"/>
    <n v="100"/>
    <x v="1"/>
    <n v="11"/>
    <x v="0"/>
    <n v="14"/>
    <x v="6"/>
    <n v="4"/>
    <n v="71.75"/>
    <n v="0.71750000000000003"/>
    <n v="0"/>
    <x v="0"/>
  </r>
  <r>
    <n v="1898"/>
    <d v="2023-11-13T00:00:00"/>
    <d v="1899-12-30T18:17:00"/>
    <n v="81"/>
    <x v="1"/>
    <x v="25"/>
    <x v="0"/>
    <n v="3"/>
    <n v="30"/>
    <n v="35.1"/>
    <n v="90"/>
    <x v="1"/>
    <n v="11"/>
    <x v="0"/>
    <n v="13"/>
    <x v="1"/>
    <n v="4"/>
    <n v="54.9"/>
    <n v="0.61"/>
    <n v="0"/>
    <x v="0"/>
  </r>
  <r>
    <n v="1951"/>
    <d v="2022-12-03T00:00:00"/>
    <d v="1899-12-30T18:56:00"/>
    <n v="54"/>
    <x v="0"/>
    <x v="19"/>
    <x v="1"/>
    <n v="2"/>
    <n v="50"/>
    <n v="59.5"/>
    <n v="100"/>
    <x v="0"/>
    <n v="12"/>
    <x v="2"/>
    <n v="3"/>
    <x v="0"/>
    <n v="4"/>
    <n v="40.5"/>
    <n v="0.40500000000000003"/>
    <n v="0"/>
    <x v="0"/>
  </r>
  <r>
    <n v="181"/>
    <d v="2023-11-06T00:00:00"/>
    <d v="1899-12-30T19:59:00"/>
    <n v="79"/>
    <x v="0"/>
    <x v="4"/>
    <x v="2"/>
    <n v="4"/>
    <n v="300"/>
    <n v="327"/>
    <n v="1200"/>
    <x v="1"/>
    <n v="11"/>
    <x v="0"/>
    <n v="6"/>
    <x v="1"/>
    <n v="4"/>
    <n v="873"/>
    <n v="0.72750000000000004"/>
    <n v="1"/>
    <x v="0"/>
  </r>
  <r>
    <n v="1181"/>
    <d v="2022-11-06T00:00:00"/>
    <d v="1899-12-30T18:28:00"/>
    <n v="84"/>
    <x v="0"/>
    <x v="4"/>
    <x v="2"/>
    <n v="4"/>
    <n v="300"/>
    <n v="354"/>
    <n v="1200"/>
    <x v="0"/>
    <n v="11"/>
    <x v="0"/>
    <n v="6"/>
    <x v="5"/>
    <n v="4"/>
    <n v="846"/>
    <n v="0.70499999999999996"/>
    <n v="1"/>
    <x v="0"/>
  </r>
  <r>
    <n v="784"/>
    <d v="2023-10-18T00:00:00"/>
    <d v="1899-12-30T22:44:00"/>
    <n v="71"/>
    <x v="1"/>
    <x v="23"/>
    <x v="2"/>
    <n v="1"/>
    <n v="500"/>
    <n v="610"/>
    <n v="500"/>
    <x v="1"/>
    <n v="10"/>
    <x v="5"/>
    <n v="18"/>
    <x v="4"/>
    <n v="4"/>
    <n v="-110"/>
    <n v="-0.22"/>
    <n v="1"/>
    <x v="0"/>
  </r>
  <r>
    <n v="1784"/>
    <d v="2023-12-28T00:00:00"/>
    <d v="1899-12-30T20:58:00"/>
    <n v="100"/>
    <x v="1"/>
    <x v="23"/>
    <x v="2"/>
    <n v="1"/>
    <n v="500"/>
    <n v="500"/>
    <n v="500"/>
    <x v="1"/>
    <n v="12"/>
    <x v="2"/>
    <n v="28"/>
    <x v="2"/>
    <n v="4"/>
    <n v="0"/>
    <n v="0"/>
    <n v="1"/>
    <x v="0"/>
  </r>
  <r>
    <n v="20"/>
    <d v="2023-12-12T00:00:00"/>
    <d v="1899-12-30T21:35:00"/>
    <n v="85"/>
    <x v="0"/>
    <x v="30"/>
    <x v="0"/>
    <n v="3"/>
    <n v="300"/>
    <n v="345"/>
    <n v="900"/>
    <x v="1"/>
    <n v="12"/>
    <x v="2"/>
    <n v="12"/>
    <x v="6"/>
    <n v="4"/>
    <n v="555"/>
    <n v="0.61666666699999995"/>
    <n v="1"/>
    <x v="0"/>
  </r>
  <r>
    <n v="690"/>
    <d v="2023-12-19T00:00:00"/>
    <d v="1899-12-30T18:39:00"/>
    <n v="91"/>
    <x v="1"/>
    <x v="41"/>
    <x v="0"/>
    <n v="3"/>
    <n v="300"/>
    <n v="324"/>
    <n v="900"/>
    <x v="1"/>
    <n v="12"/>
    <x v="2"/>
    <n v="19"/>
    <x v="6"/>
    <n v="4"/>
    <n v="576"/>
    <n v="0.64"/>
    <n v="1"/>
    <x v="0"/>
  </r>
  <r>
    <n v="1020"/>
    <d v="2022-11-22T00:00:00"/>
    <d v="1899-12-30T18:30:00"/>
    <n v="86"/>
    <x v="0"/>
    <x v="30"/>
    <x v="0"/>
    <n v="3"/>
    <n v="300"/>
    <n v="300"/>
    <n v="900"/>
    <x v="0"/>
    <n v="11"/>
    <x v="0"/>
    <n v="22"/>
    <x v="6"/>
    <n v="4"/>
    <n v="600"/>
    <n v="0.66666666699999999"/>
    <n v="1"/>
    <x v="0"/>
  </r>
  <r>
    <n v="1690"/>
    <d v="2023-09-05T00:00:00"/>
    <d v="1899-12-30T17:36:00"/>
    <n v="101"/>
    <x v="1"/>
    <x v="41"/>
    <x v="0"/>
    <n v="3"/>
    <n v="300"/>
    <n v="369"/>
    <n v="900"/>
    <x v="1"/>
    <n v="9"/>
    <x v="9"/>
    <n v="5"/>
    <x v="6"/>
    <n v="3"/>
    <n v="531"/>
    <n v="0.59"/>
    <n v="1"/>
    <x v="1"/>
  </r>
  <r>
    <n v="47"/>
    <d v="2022-10-22T00:00:00"/>
    <d v="1899-12-30T17:22:00"/>
    <n v="96"/>
    <x v="1"/>
    <x v="2"/>
    <x v="1"/>
    <n v="3"/>
    <n v="500"/>
    <n v="600"/>
    <n v="1500"/>
    <x v="0"/>
    <n v="10"/>
    <x v="5"/>
    <n v="22"/>
    <x v="0"/>
    <n v="4"/>
    <n v="900"/>
    <n v="0.6"/>
    <n v="1"/>
    <x v="0"/>
  </r>
  <r>
    <n v="405"/>
    <d v="2022-10-17T00:00:00"/>
    <d v="1899-12-30T17:55:00"/>
    <n v="79"/>
    <x v="1"/>
    <x v="38"/>
    <x v="0"/>
    <n v="4"/>
    <n v="300"/>
    <n v="324"/>
    <n v="1200"/>
    <x v="0"/>
    <n v="10"/>
    <x v="5"/>
    <n v="17"/>
    <x v="1"/>
    <n v="4"/>
    <n v="876"/>
    <n v="0.73"/>
    <n v="1"/>
    <x v="0"/>
  </r>
  <r>
    <n v="1047"/>
    <d v="2022-12-04T00:00:00"/>
    <d v="1899-12-30T21:53:00"/>
    <n v="84"/>
    <x v="1"/>
    <x v="2"/>
    <x v="1"/>
    <n v="3"/>
    <n v="500"/>
    <n v="490"/>
    <n v="1500"/>
    <x v="0"/>
    <n v="12"/>
    <x v="2"/>
    <n v="4"/>
    <x v="5"/>
    <n v="4"/>
    <n v="1010"/>
    <n v="0.67333333299999998"/>
    <n v="1"/>
    <x v="0"/>
  </r>
  <r>
    <n v="1405"/>
    <d v="2023-10-28T00:00:00"/>
    <d v="1899-12-30T20:08:00"/>
    <n v="91"/>
    <x v="1"/>
    <x v="38"/>
    <x v="0"/>
    <n v="4"/>
    <n v="300"/>
    <n v="342"/>
    <n v="1200"/>
    <x v="1"/>
    <n v="10"/>
    <x v="5"/>
    <n v="28"/>
    <x v="0"/>
    <n v="4"/>
    <n v="858"/>
    <n v="0.71499999999999997"/>
    <n v="1"/>
    <x v="0"/>
  </r>
  <r>
    <n v="205"/>
    <d v="2022-11-22T00:00:00"/>
    <d v="1899-12-30T17:20:00"/>
    <n v="88"/>
    <x v="1"/>
    <x v="22"/>
    <x v="0"/>
    <n v="1"/>
    <n v="25"/>
    <n v="25.5"/>
    <n v="25"/>
    <x v="0"/>
    <n v="11"/>
    <x v="0"/>
    <n v="22"/>
    <x v="6"/>
    <n v="4"/>
    <n v="-0.5"/>
    <n v="-0.02"/>
    <n v="0"/>
    <x v="0"/>
  </r>
  <r>
    <n v="512"/>
    <d v="2022-12-06T00:00:00"/>
    <d v="1899-12-30T18:00:00"/>
    <n v="56"/>
    <x v="1"/>
    <x v="10"/>
    <x v="1"/>
    <n v="1"/>
    <n v="25"/>
    <n v="9.5"/>
    <n v="25"/>
    <x v="0"/>
    <n v="12"/>
    <x v="2"/>
    <n v="6"/>
    <x v="6"/>
    <n v="4"/>
    <n v="15.5"/>
    <n v="0.62"/>
    <n v="0"/>
    <x v="0"/>
  </r>
  <r>
    <n v="565"/>
    <d v="2023-09-05T00:00:00"/>
    <d v="1899-12-30T20:24:00"/>
    <n v="75"/>
    <x v="1"/>
    <x v="14"/>
    <x v="1"/>
    <n v="2"/>
    <n v="30"/>
    <n v="9"/>
    <n v="60"/>
    <x v="1"/>
    <n v="9"/>
    <x v="9"/>
    <n v="5"/>
    <x v="6"/>
    <n v="3"/>
    <n v="51"/>
    <n v="0.85"/>
    <n v="0"/>
    <x v="1"/>
  </r>
  <r>
    <n v="761"/>
    <d v="2022-11-14T00:00:00"/>
    <d v="1899-12-30T22:16:00"/>
    <n v="64"/>
    <x v="1"/>
    <x v="19"/>
    <x v="0"/>
    <n v="1"/>
    <n v="500"/>
    <n v="275"/>
    <n v="500"/>
    <x v="0"/>
    <n v="11"/>
    <x v="0"/>
    <n v="14"/>
    <x v="1"/>
    <n v="4"/>
    <n v="225"/>
    <n v="0.45"/>
    <n v="1"/>
    <x v="0"/>
  </r>
  <r>
    <n v="762"/>
    <d v="2023-11-27T00:00:00"/>
    <d v="1899-12-30T17:49:00"/>
    <n v="56"/>
    <x v="1"/>
    <x v="24"/>
    <x v="2"/>
    <n v="2"/>
    <n v="25"/>
    <n v="10.25"/>
    <n v="50"/>
    <x v="1"/>
    <n v="11"/>
    <x v="0"/>
    <n v="27"/>
    <x v="1"/>
    <n v="4"/>
    <n v="39.75"/>
    <n v="0.79500000000000004"/>
    <n v="0"/>
    <x v="0"/>
  </r>
  <r>
    <n v="950"/>
    <d v="2022-09-22T00:00:00"/>
    <d v="1899-12-30T21:27:00"/>
    <n v="75"/>
    <x v="0"/>
    <x v="31"/>
    <x v="0"/>
    <n v="3"/>
    <n v="300"/>
    <n v="144"/>
    <n v="900"/>
    <x v="0"/>
    <n v="9"/>
    <x v="9"/>
    <n v="22"/>
    <x v="2"/>
    <n v="3"/>
    <n v="756"/>
    <n v="0.84"/>
    <n v="1"/>
    <x v="1"/>
  </r>
  <r>
    <n v="1205"/>
    <d v="2022-11-25T00:00:00"/>
    <d v="1899-12-30T19:19:00"/>
    <n v="97"/>
    <x v="1"/>
    <x v="22"/>
    <x v="0"/>
    <n v="1"/>
    <n v="25"/>
    <n v="7.25"/>
    <n v="25"/>
    <x v="0"/>
    <n v="11"/>
    <x v="0"/>
    <n v="25"/>
    <x v="3"/>
    <n v="4"/>
    <n v="17.75"/>
    <n v="0.71"/>
    <n v="0"/>
    <x v="0"/>
  </r>
  <r>
    <n v="1512"/>
    <d v="2023-12-20T00:00:00"/>
    <d v="1899-12-30T20:05:00"/>
    <n v="105"/>
    <x v="1"/>
    <x v="10"/>
    <x v="1"/>
    <n v="1"/>
    <n v="25"/>
    <n v="13.25"/>
    <n v="25"/>
    <x v="1"/>
    <n v="12"/>
    <x v="2"/>
    <n v="20"/>
    <x v="4"/>
    <n v="4"/>
    <n v="11.75"/>
    <n v="0.47"/>
    <n v="0"/>
    <x v="0"/>
  </r>
  <r>
    <n v="1565"/>
    <d v="2023-09-04T00:00:00"/>
    <d v="1899-12-30T20:45:00"/>
    <n v="74"/>
    <x v="1"/>
    <x v="14"/>
    <x v="1"/>
    <n v="2"/>
    <n v="30"/>
    <n v="11.1"/>
    <n v="60"/>
    <x v="1"/>
    <n v="9"/>
    <x v="9"/>
    <n v="4"/>
    <x v="1"/>
    <n v="3"/>
    <n v="48.9"/>
    <n v="0.81499999999999995"/>
    <n v="0"/>
    <x v="1"/>
  </r>
  <r>
    <n v="1761"/>
    <d v="2023-12-09T00:00:00"/>
    <d v="1899-12-30T18:46:00"/>
    <n v="72"/>
    <x v="1"/>
    <x v="19"/>
    <x v="0"/>
    <n v="1"/>
    <n v="500"/>
    <n v="200"/>
    <n v="500"/>
    <x v="1"/>
    <n v="12"/>
    <x v="2"/>
    <n v="9"/>
    <x v="0"/>
    <n v="4"/>
    <n v="300"/>
    <n v="0.6"/>
    <n v="1"/>
    <x v="0"/>
  </r>
  <r>
    <n v="1762"/>
    <d v="2023-11-15T00:00:00"/>
    <d v="1899-12-30T18:43:00"/>
    <n v="81"/>
    <x v="1"/>
    <x v="24"/>
    <x v="2"/>
    <n v="2"/>
    <n v="25"/>
    <n v="11"/>
    <n v="50"/>
    <x v="1"/>
    <n v="11"/>
    <x v="0"/>
    <n v="15"/>
    <x v="4"/>
    <n v="4"/>
    <n v="39"/>
    <n v="0.78"/>
    <n v="0"/>
    <x v="0"/>
  </r>
  <r>
    <n v="1950"/>
    <d v="2022-12-04T00:00:00"/>
    <d v="1899-12-30T19:23:00"/>
    <n v="50"/>
    <x v="0"/>
    <x v="31"/>
    <x v="0"/>
    <n v="3"/>
    <n v="300"/>
    <n v="84"/>
    <n v="900"/>
    <x v="0"/>
    <n v="12"/>
    <x v="2"/>
    <n v="4"/>
    <x v="5"/>
    <n v="4"/>
    <n v="816"/>
    <n v="0.90666666699999998"/>
    <n v="1"/>
    <x v="0"/>
  </r>
  <r>
    <n v="86"/>
    <d v="2023-09-29T00:00:00"/>
    <d v="1899-12-30T18:55:00"/>
    <n v="69"/>
    <x v="0"/>
    <x v="4"/>
    <x v="1"/>
    <n v="3"/>
    <n v="30"/>
    <n v="15.6"/>
    <n v="90"/>
    <x v="1"/>
    <n v="9"/>
    <x v="9"/>
    <n v="29"/>
    <x v="3"/>
    <n v="3"/>
    <n v="74.400000000000006"/>
    <n v="0.82666666700000002"/>
    <n v="0"/>
    <x v="1"/>
  </r>
  <r>
    <n v="173"/>
    <d v="2023-12-19T00:00:00"/>
    <d v="1899-12-30T17:30:00"/>
    <n v="85"/>
    <x v="0"/>
    <x v="3"/>
    <x v="2"/>
    <n v="4"/>
    <n v="30"/>
    <n v="14.1"/>
    <n v="120"/>
    <x v="1"/>
    <n v="12"/>
    <x v="2"/>
    <n v="19"/>
    <x v="6"/>
    <n v="4"/>
    <n v="105.9"/>
    <n v="0.88249999999999995"/>
    <n v="0"/>
    <x v="0"/>
  </r>
  <r>
    <n v="1086"/>
    <d v="2023-09-14T00:00:00"/>
    <d v="1899-12-30T19:50:00"/>
    <n v="84"/>
    <x v="0"/>
    <x v="4"/>
    <x v="1"/>
    <n v="3"/>
    <n v="30"/>
    <n v="16.5"/>
    <n v="90"/>
    <x v="1"/>
    <n v="9"/>
    <x v="9"/>
    <n v="14"/>
    <x v="2"/>
    <n v="3"/>
    <n v="73.5"/>
    <n v="0.81666666700000001"/>
    <n v="0"/>
    <x v="1"/>
  </r>
  <r>
    <n v="1173"/>
    <d v="2022-12-04T00:00:00"/>
    <d v="1899-12-30T21:03:00"/>
    <n v="70"/>
    <x v="0"/>
    <x v="3"/>
    <x v="2"/>
    <n v="4"/>
    <n v="30"/>
    <n v="15"/>
    <n v="120"/>
    <x v="0"/>
    <n v="12"/>
    <x v="2"/>
    <n v="4"/>
    <x v="5"/>
    <n v="4"/>
    <n v="105"/>
    <n v="0.875"/>
    <n v="0"/>
    <x v="0"/>
  </r>
  <r>
    <n v="595"/>
    <d v="2022-10-15T00:00:00"/>
    <d v="1899-12-30T21:35:00"/>
    <n v="65"/>
    <x v="1"/>
    <x v="18"/>
    <x v="0"/>
    <n v="4"/>
    <n v="500"/>
    <n v="210"/>
    <n v="2000"/>
    <x v="0"/>
    <n v="10"/>
    <x v="5"/>
    <n v="15"/>
    <x v="0"/>
    <n v="4"/>
    <n v="1790"/>
    <n v="0.89500000000000002"/>
    <n v="1"/>
    <x v="0"/>
  </r>
  <r>
    <n v="827"/>
    <d v="2023-10-28T00:00:00"/>
    <d v="1899-12-30T19:24:00"/>
    <n v="96"/>
    <x v="0"/>
    <x v="45"/>
    <x v="1"/>
    <n v="3"/>
    <n v="300"/>
    <n v="165"/>
    <n v="900"/>
    <x v="1"/>
    <n v="10"/>
    <x v="5"/>
    <n v="28"/>
    <x v="0"/>
    <n v="4"/>
    <n v="735"/>
    <n v="0.81666666700000001"/>
    <n v="1"/>
    <x v="0"/>
  </r>
  <r>
    <n v="965"/>
    <d v="2022-11-27T00:00:00"/>
    <d v="1899-12-30T21:45:00"/>
    <n v="84"/>
    <x v="0"/>
    <x v="30"/>
    <x v="0"/>
    <n v="4"/>
    <n v="50"/>
    <n v="13"/>
    <n v="200"/>
    <x v="0"/>
    <n v="11"/>
    <x v="0"/>
    <n v="27"/>
    <x v="5"/>
    <n v="4"/>
    <n v="187"/>
    <n v="0.93500000000000005"/>
    <n v="1"/>
    <x v="0"/>
  </r>
  <r>
    <n v="1595"/>
    <d v="2023-10-04T00:00:00"/>
    <d v="1899-12-30T17:44:00"/>
    <n v="115"/>
    <x v="1"/>
    <x v="18"/>
    <x v="0"/>
    <n v="4"/>
    <n v="500"/>
    <n v="255"/>
    <n v="2000"/>
    <x v="1"/>
    <n v="10"/>
    <x v="5"/>
    <n v="4"/>
    <x v="4"/>
    <n v="4"/>
    <n v="1745"/>
    <n v="0.87250000000000005"/>
    <n v="1"/>
    <x v="0"/>
  </r>
  <r>
    <n v="1827"/>
    <d v="2022-11-09T00:00:00"/>
    <d v="1899-12-30T20:02:00"/>
    <n v="62"/>
    <x v="0"/>
    <x v="45"/>
    <x v="1"/>
    <n v="3"/>
    <n v="300"/>
    <n v="132"/>
    <n v="900"/>
    <x v="0"/>
    <n v="11"/>
    <x v="0"/>
    <n v="9"/>
    <x v="4"/>
    <n v="4"/>
    <n v="768"/>
    <n v="0.85333333300000003"/>
    <n v="1"/>
    <x v="0"/>
  </r>
  <r>
    <n v="1965"/>
    <d v="2022-12-12T00:00:00"/>
    <d v="1899-12-30T20:03:00"/>
    <n v="93"/>
    <x v="0"/>
    <x v="30"/>
    <x v="0"/>
    <n v="4"/>
    <n v="50"/>
    <n v="21.5"/>
    <n v="200"/>
    <x v="0"/>
    <n v="12"/>
    <x v="2"/>
    <n v="12"/>
    <x v="1"/>
    <n v="4"/>
    <n v="178.5"/>
    <n v="0.89249999999999996"/>
    <n v="1"/>
    <x v="0"/>
  </r>
  <r>
    <n v="388"/>
    <d v="2022-12-03T00:00:00"/>
    <d v="1899-12-30T19:04:00"/>
    <n v="60"/>
    <x v="0"/>
    <x v="20"/>
    <x v="2"/>
    <n v="1"/>
    <n v="25"/>
    <n v="12.25"/>
    <n v="25"/>
    <x v="0"/>
    <n v="12"/>
    <x v="2"/>
    <n v="3"/>
    <x v="0"/>
    <n v="4"/>
    <n v="12.75"/>
    <n v="0.51"/>
    <n v="0"/>
    <x v="0"/>
  </r>
  <r>
    <n v="631"/>
    <d v="2023-10-22T00:00:00"/>
    <d v="1899-12-30T22:18:00"/>
    <n v="92"/>
    <x v="0"/>
    <x v="34"/>
    <x v="2"/>
    <n v="3"/>
    <n v="30"/>
    <n v="16.5"/>
    <n v="90"/>
    <x v="1"/>
    <n v="10"/>
    <x v="5"/>
    <n v="22"/>
    <x v="5"/>
    <n v="4"/>
    <n v="73.5"/>
    <n v="0.81666666700000001"/>
    <n v="0"/>
    <x v="0"/>
  </r>
  <r>
    <n v="1388"/>
    <d v="2023-10-13T00:00:00"/>
    <d v="1899-12-30T18:12:00"/>
    <n v="89"/>
    <x v="0"/>
    <x v="20"/>
    <x v="2"/>
    <n v="1"/>
    <n v="25"/>
    <n v="6.75"/>
    <n v="25"/>
    <x v="1"/>
    <n v="10"/>
    <x v="5"/>
    <n v="13"/>
    <x v="3"/>
    <n v="4"/>
    <n v="18.25"/>
    <n v="0.73"/>
    <n v="0"/>
    <x v="0"/>
  </r>
  <r>
    <n v="1631"/>
    <d v="2022-11-01T00:00:00"/>
    <d v="1899-12-30T19:11:00"/>
    <n v="75"/>
    <x v="0"/>
    <x v="34"/>
    <x v="2"/>
    <n v="3"/>
    <n v="30"/>
    <n v="12.3"/>
    <n v="90"/>
    <x v="0"/>
    <n v="11"/>
    <x v="0"/>
    <n v="1"/>
    <x v="6"/>
    <n v="4"/>
    <n v="77.7"/>
    <n v="0.86333333300000004"/>
    <n v="0"/>
    <x v="0"/>
  </r>
  <r>
    <n v="554"/>
    <d v="2022-12-06T00:00:00"/>
    <d v="1899-12-30T21:04:00"/>
    <n v="94"/>
    <x v="1"/>
    <x v="1"/>
    <x v="1"/>
    <n v="3"/>
    <n v="50"/>
    <n v="13"/>
    <n v="150"/>
    <x v="0"/>
    <n v="12"/>
    <x v="2"/>
    <n v="6"/>
    <x v="6"/>
    <n v="4"/>
    <n v="137"/>
    <n v="0.91333333299999997"/>
    <n v="1"/>
    <x v="0"/>
  </r>
  <r>
    <n v="812"/>
    <d v="2023-10-02T00:00:00"/>
    <d v="1899-12-30T17:45:00"/>
    <n v="89"/>
    <x v="0"/>
    <x v="4"/>
    <x v="2"/>
    <n v="3"/>
    <n v="25"/>
    <n v="11.25"/>
    <n v="75"/>
    <x v="1"/>
    <n v="10"/>
    <x v="5"/>
    <n v="2"/>
    <x v="1"/>
    <n v="4"/>
    <n v="63.75"/>
    <n v="0.85"/>
    <n v="0"/>
    <x v="0"/>
  </r>
  <r>
    <n v="1554"/>
    <d v="2023-11-27T00:00:00"/>
    <d v="1899-12-30T19:55:00"/>
    <n v="83"/>
    <x v="1"/>
    <x v="1"/>
    <x v="1"/>
    <n v="3"/>
    <n v="50"/>
    <n v="15.5"/>
    <n v="150"/>
    <x v="1"/>
    <n v="11"/>
    <x v="0"/>
    <n v="27"/>
    <x v="1"/>
    <n v="4"/>
    <n v="134.5"/>
    <n v="0.89666666699999997"/>
    <n v="1"/>
    <x v="0"/>
  </r>
  <r>
    <n v="1812"/>
    <d v="2023-10-25T00:00:00"/>
    <d v="1899-12-30T22:19:00"/>
    <n v="85"/>
    <x v="0"/>
    <x v="4"/>
    <x v="2"/>
    <n v="3"/>
    <n v="25"/>
    <n v="12"/>
    <n v="75"/>
    <x v="1"/>
    <n v="10"/>
    <x v="5"/>
    <n v="25"/>
    <x v="4"/>
    <n v="4"/>
    <n v="63"/>
    <n v="0.84"/>
    <n v="0"/>
    <x v="0"/>
  </r>
  <r>
    <n v="58"/>
    <d v="2023-09-16T00:00:00"/>
    <d v="1899-12-30T19:18:00"/>
    <n v="53"/>
    <x v="0"/>
    <x v="18"/>
    <x v="0"/>
    <n v="4"/>
    <n v="300"/>
    <n v="75"/>
    <n v="1200"/>
    <x v="1"/>
    <n v="9"/>
    <x v="9"/>
    <n v="16"/>
    <x v="0"/>
    <n v="3"/>
    <n v="1125"/>
    <n v="0.9375"/>
    <n v="1"/>
    <x v="1"/>
  </r>
  <r>
    <n v="952"/>
    <d v="2022-12-21T00:00:00"/>
    <d v="1899-12-30T18:09:00"/>
    <n v="69"/>
    <x v="1"/>
    <x v="10"/>
    <x v="0"/>
    <n v="1"/>
    <n v="25"/>
    <n v="13.25"/>
    <n v="25"/>
    <x v="0"/>
    <n v="12"/>
    <x v="2"/>
    <n v="21"/>
    <x v="4"/>
    <n v="4"/>
    <n v="11.75"/>
    <n v="0.47"/>
    <n v="0"/>
    <x v="0"/>
  </r>
  <r>
    <n v="1058"/>
    <d v="2022-10-30T00:00:00"/>
    <d v="1899-12-30T18:31:00"/>
    <n v="100"/>
    <x v="0"/>
    <x v="18"/>
    <x v="0"/>
    <n v="4"/>
    <n v="300"/>
    <n v="153"/>
    <n v="1200"/>
    <x v="0"/>
    <n v="10"/>
    <x v="5"/>
    <n v="30"/>
    <x v="5"/>
    <n v="4"/>
    <n v="1047"/>
    <n v="0.87250000000000005"/>
    <n v="1"/>
    <x v="0"/>
  </r>
  <r>
    <n v="1952"/>
    <d v="2022-12-17T00:00:00"/>
    <d v="1899-12-30T22:13:00"/>
    <n v="114"/>
    <x v="1"/>
    <x v="10"/>
    <x v="0"/>
    <n v="1"/>
    <n v="25"/>
    <n v="13.5"/>
    <n v="25"/>
    <x v="0"/>
    <n v="12"/>
    <x v="2"/>
    <n v="17"/>
    <x v="0"/>
    <n v="4"/>
    <n v="11.5"/>
    <n v="0.46"/>
    <n v="0"/>
    <x v="0"/>
  </r>
  <r>
    <n v="345"/>
    <d v="2022-12-07T00:00:00"/>
    <d v="1899-12-30T18:56:00"/>
    <n v="104"/>
    <x v="0"/>
    <x v="44"/>
    <x v="2"/>
    <n v="1"/>
    <n v="30"/>
    <n v="13.5"/>
    <n v="30"/>
    <x v="0"/>
    <n v="12"/>
    <x v="2"/>
    <n v="7"/>
    <x v="4"/>
    <n v="4"/>
    <n v="16.5"/>
    <n v="0.55000000000000004"/>
    <n v="0"/>
    <x v="0"/>
  </r>
  <r>
    <n v="458"/>
    <d v="2023-11-28T00:00:00"/>
    <d v="1899-12-30T21:35:00"/>
    <n v="110"/>
    <x v="1"/>
    <x v="27"/>
    <x v="2"/>
    <n v="4"/>
    <n v="25"/>
    <n v="7"/>
    <n v="100"/>
    <x v="1"/>
    <n v="11"/>
    <x v="0"/>
    <n v="28"/>
    <x v="6"/>
    <n v="4"/>
    <n v="93"/>
    <n v="0.93"/>
    <n v="0"/>
    <x v="0"/>
  </r>
  <r>
    <n v="582"/>
    <d v="2022-09-30T00:00:00"/>
    <d v="1899-12-30T21:38:00"/>
    <n v="110"/>
    <x v="0"/>
    <x v="39"/>
    <x v="0"/>
    <n v="3"/>
    <n v="300"/>
    <n v="75"/>
    <n v="900"/>
    <x v="0"/>
    <n v="9"/>
    <x v="9"/>
    <n v="30"/>
    <x v="3"/>
    <n v="3"/>
    <n v="825"/>
    <n v="0.91666666699999999"/>
    <n v="1"/>
    <x v="1"/>
  </r>
  <r>
    <n v="963"/>
    <d v="2023-10-19T00:00:00"/>
    <d v="1899-12-30T18:24:00"/>
    <n v="76"/>
    <x v="1"/>
    <x v="46"/>
    <x v="1"/>
    <n v="1"/>
    <n v="50"/>
    <n v="13"/>
    <n v="50"/>
    <x v="1"/>
    <n v="10"/>
    <x v="5"/>
    <n v="19"/>
    <x v="2"/>
    <n v="4"/>
    <n v="37"/>
    <n v="0.74"/>
    <n v="0"/>
    <x v="0"/>
  </r>
  <r>
    <n v="1345"/>
    <d v="2022-09-29T00:00:00"/>
    <d v="1899-12-30T17:50:00"/>
    <n v="98"/>
    <x v="0"/>
    <x v="44"/>
    <x v="2"/>
    <n v="1"/>
    <n v="30"/>
    <n v="11.4"/>
    <n v="30"/>
    <x v="0"/>
    <n v="9"/>
    <x v="9"/>
    <n v="29"/>
    <x v="2"/>
    <n v="3"/>
    <n v="18.600000000000001"/>
    <n v="0.62"/>
    <n v="0"/>
    <x v="1"/>
  </r>
  <r>
    <n v="1458"/>
    <d v="2023-10-09T00:00:00"/>
    <d v="1899-12-30T19:21:00"/>
    <n v="95"/>
    <x v="1"/>
    <x v="27"/>
    <x v="2"/>
    <n v="4"/>
    <n v="25"/>
    <n v="9.75"/>
    <n v="100"/>
    <x v="1"/>
    <n v="10"/>
    <x v="5"/>
    <n v="9"/>
    <x v="1"/>
    <n v="4"/>
    <n v="90.25"/>
    <n v="0.90249999999999997"/>
    <n v="0"/>
    <x v="0"/>
  </r>
  <r>
    <n v="1582"/>
    <d v="2023-10-17T00:00:00"/>
    <d v="1899-12-30T19:12:00"/>
    <n v="56"/>
    <x v="0"/>
    <x v="39"/>
    <x v="0"/>
    <n v="3"/>
    <n v="300"/>
    <n v="114"/>
    <n v="900"/>
    <x v="1"/>
    <n v="10"/>
    <x v="5"/>
    <n v="17"/>
    <x v="6"/>
    <n v="4"/>
    <n v="786"/>
    <n v="0.87333333300000004"/>
    <n v="1"/>
    <x v="0"/>
  </r>
  <r>
    <n v="1963"/>
    <d v="2022-12-12T00:00:00"/>
    <d v="1899-12-30T20:56:00"/>
    <n v="115"/>
    <x v="1"/>
    <x v="46"/>
    <x v="1"/>
    <n v="1"/>
    <n v="50"/>
    <n v="20.5"/>
    <n v="50"/>
    <x v="0"/>
    <n v="12"/>
    <x v="2"/>
    <n v="12"/>
    <x v="1"/>
    <n v="4"/>
    <n v="29.5"/>
    <n v="0.59"/>
    <n v="0"/>
    <x v="0"/>
  </r>
  <r>
    <n v="369"/>
    <d v="2023-12-13T00:00:00"/>
    <d v="1899-12-30T19:42:00"/>
    <n v="111"/>
    <x v="0"/>
    <x v="8"/>
    <x v="2"/>
    <n v="3"/>
    <n v="500"/>
    <n v="215"/>
    <n v="1500"/>
    <x v="1"/>
    <n v="12"/>
    <x v="2"/>
    <n v="13"/>
    <x v="4"/>
    <n v="4"/>
    <n v="1285"/>
    <n v="0.85666666700000005"/>
    <n v="1"/>
    <x v="0"/>
  </r>
  <r>
    <n v="706"/>
    <d v="2022-09-04T00:00:00"/>
    <d v="1899-12-30T22:19:00"/>
    <n v="66"/>
    <x v="0"/>
    <x v="12"/>
    <x v="2"/>
    <n v="4"/>
    <n v="25"/>
    <n v="8"/>
    <n v="100"/>
    <x v="0"/>
    <n v="9"/>
    <x v="9"/>
    <n v="4"/>
    <x v="5"/>
    <n v="3"/>
    <n v="92"/>
    <n v="0.92"/>
    <n v="0"/>
    <x v="1"/>
  </r>
  <r>
    <n v="747"/>
    <d v="2022-10-21T00:00:00"/>
    <d v="1899-12-30T18:12:00"/>
    <n v="51"/>
    <x v="0"/>
    <x v="8"/>
    <x v="1"/>
    <n v="1"/>
    <n v="30"/>
    <n v="9.3000000000000007"/>
    <n v="30"/>
    <x v="0"/>
    <n v="10"/>
    <x v="5"/>
    <n v="21"/>
    <x v="3"/>
    <n v="4"/>
    <n v="20.7"/>
    <n v="0.69"/>
    <n v="0"/>
    <x v="0"/>
  </r>
  <r>
    <n v="1369"/>
    <d v="2022-10-10T00:00:00"/>
    <d v="1899-12-30T21:14:00"/>
    <n v="64"/>
    <x v="0"/>
    <x v="8"/>
    <x v="2"/>
    <n v="3"/>
    <n v="500"/>
    <n v="180"/>
    <n v="1500"/>
    <x v="0"/>
    <n v="10"/>
    <x v="5"/>
    <n v="10"/>
    <x v="1"/>
    <n v="4"/>
    <n v="1320"/>
    <n v="0.88"/>
    <n v="1"/>
    <x v="0"/>
  </r>
  <r>
    <n v="1706"/>
    <d v="2022-10-16T00:00:00"/>
    <d v="1899-12-30T18:04:00"/>
    <n v="57"/>
    <x v="0"/>
    <x v="12"/>
    <x v="2"/>
    <n v="4"/>
    <n v="25"/>
    <n v="11.75"/>
    <n v="100"/>
    <x v="0"/>
    <n v="10"/>
    <x v="5"/>
    <n v="16"/>
    <x v="5"/>
    <n v="4"/>
    <n v="88.25"/>
    <n v="0.88249999999999995"/>
    <n v="0"/>
    <x v="0"/>
  </r>
  <r>
    <n v="1747"/>
    <d v="2023-09-05T00:00:00"/>
    <d v="1899-12-30T18:22:00"/>
    <n v="87"/>
    <x v="0"/>
    <x v="8"/>
    <x v="1"/>
    <n v="1"/>
    <n v="30"/>
    <n v="16.2"/>
    <n v="30"/>
    <x v="1"/>
    <n v="9"/>
    <x v="9"/>
    <n v="5"/>
    <x v="6"/>
    <n v="3"/>
    <n v="13.8"/>
    <n v="0.46"/>
    <n v="0"/>
    <x v="1"/>
  </r>
  <r>
    <n v="533"/>
    <d v="2022-11-13T00:00:00"/>
    <d v="1899-12-30T17:19:00"/>
    <n v="92"/>
    <x v="0"/>
    <x v="4"/>
    <x v="2"/>
    <n v="3"/>
    <n v="500"/>
    <n v="155"/>
    <n v="1500"/>
    <x v="0"/>
    <n v="11"/>
    <x v="0"/>
    <n v="13"/>
    <x v="5"/>
    <n v="4"/>
    <n v="1345"/>
    <n v="0.89666666699999997"/>
    <n v="1"/>
    <x v="0"/>
  </r>
  <r>
    <n v="1533"/>
    <d v="2022-10-29T00:00:00"/>
    <d v="1899-12-30T19:35:00"/>
    <n v="67"/>
    <x v="0"/>
    <x v="4"/>
    <x v="2"/>
    <n v="3"/>
    <n v="500"/>
    <n v="255"/>
    <n v="1500"/>
    <x v="0"/>
    <n v="10"/>
    <x v="5"/>
    <n v="29"/>
    <x v="0"/>
    <n v="4"/>
    <n v="1245"/>
    <n v="0.83"/>
    <n v="1"/>
    <x v="0"/>
  </r>
  <r>
    <n v="169"/>
    <d v="2022-11-28T00:00:00"/>
    <d v="1899-12-30T18:47:00"/>
    <n v="73"/>
    <x v="0"/>
    <x v="18"/>
    <x v="1"/>
    <n v="3"/>
    <n v="500"/>
    <n v="145"/>
    <n v="1500"/>
    <x v="0"/>
    <n v="11"/>
    <x v="0"/>
    <n v="28"/>
    <x v="1"/>
    <n v="4"/>
    <n v="1355"/>
    <n v="0.90333333299999996"/>
    <n v="1"/>
    <x v="0"/>
  </r>
  <r>
    <n v="645"/>
    <d v="2022-12-14T00:00:00"/>
    <d v="1899-12-30T22:11:00"/>
    <n v="51"/>
    <x v="1"/>
    <x v="39"/>
    <x v="2"/>
    <n v="4"/>
    <n v="30"/>
    <n v="11.1"/>
    <n v="120"/>
    <x v="0"/>
    <n v="12"/>
    <x v="2"/>
    <n v="14"/>
    <x v="4"/>
    <n v="4"/>
    <n v="108.9"/>
    <n v="0.90749999999999997"/>
    <n v="0"/>
    <x v="0"/>
  </r>
  <r>
    <n v="968"/>
    <d v="2023-12-18T00:00:00"/>
    <d v="1899-12-30T20:34:00"/>
    <n v="101"/>
    <x v="1"/>
    <x v="42"/>
    <x v="0"/>
    <n v="3"/>
    <n v="300"/>
    <n v="120"/>
    <n v="900"/>
    <x v="1"/>
    <n v="12"/>
    <x v="2"/>
    <n v="18"/>
    <x v="1"/>
    <n v="4"/>
    <n v="780"/>
    <n v="0.86666666699999995"/>
    <n v="1"/>
    <x v="0"/>
  </r>
  <r>
    <n v="997"/>
    <d v="2023-10-01T00:00:00"/>
    <d v="1899-12-30T20:36:00"/>
    <n v="51"/>
    <x v="0"/>
    <x v="41"/>
    <x v="1"/>
    <n v="3"/>
    <n v="30"/>
    <n v="15"/>
    <n v="90"/>
    <x v="1"/>
    <n v="10"/>
    <x v="5"/>
    <n v="1"/>
    <x v="5"/>
    <n v="4"/>
    <n v="75"/>
    <n v="0.83333333300000001"/>
    <n v="0"/>
    <x v="0"/>
  </r>
  <r>
    <n v="1169"/>
    <d v="2022-09-25T00:00:00"/>
    <d v="1899-12-30T17:12:00"/>
    <n v="101"/>
    <x v="0"/>
    <x v="18"/>
    <x v="1"/>
    <n v="3"/>
    <n v="500"/>
    <n v="255"/>
    <n v="1500"/>
    <x v="0"/>
    <n v="9"/>
    <x v="9"/>
    <n v="25"/>
    <x v="5"/>
    <n v="3"/>
    <n v="1245"/>
    <n v="0.83"/>
    <n v="1"/>
    <x v="1"/>
  </r>
  <r>
    <n v="1645"/>
    <d v="2023-10-12T00:00:00"/>
    <d v="1899-12-30T17:27:00"/>
    <n v="109"/>
    <x v="1"/>
    <x v="39"/>
    <x v="2"/>
    <n v="4"/>
    <n v="30"/>
    <n v="9"/>
    <n v="120"/>
    <x v="1"/>
    <n v="10"/>
    <x v="5"/>
    <n v="12"/>
    <x v="2"/>
    <n v="4"/>
    <n v="111"/>
    <n v="0.92500000000000004"/>
    <n v="0"/>
    <x v="0"/>
  </r>
  <r>
    <n v="1968"/>
    <d v="2022-09-21T00:00:00"/>
    <d v="1899-12-30T19:09:00"/>
    <n v="75"/>
    <x v="1"/>
    <x v="42"/>
    <x v="0"/>
    <n v="3"/>
    <n v="300"/>
    <n v="153"/>
    <n v="900"/>
    <x v="0"/>
    <n v="9"/>
    <x v="9"/>
    <n v="21"/>
    <x v="4"/>
    <n v="3"/>
    <n v="747"/>
    <n v="0.83"/>
    <n v="1"/>
    <x v="1"/>
  </r>
  <r>
    <n v="1997"/>
    <d v="2023-10-29T00:00:00"/>
    <d v="1899-12-30T21:09:00"/>
    <n v="99"/>
    <x v="0"/>
    <x v="41"/>
    <x v="1"/>
    <n v="3"/>
    <n v="30"/>
    <n v="10.199999999999999"/>
    <n v="90"/>
    <x v="1"/>
    <n v="10"/>
    <x v="5"/>
    <n v="29"/>
    <x v="5"/>
    <n v="4"/>
    <n v="79.8"/>
    <n v="0.88666666699999996"/>
    <n v="0"/>
    <x v="0"/>
  </r>
  <r>
    <n v="57"/>
    <d v="2022-10-11T00:00:00"/>
    <d v="1899-12-30T20:12:00"/>
    <n v="64"/>
    <x v="1"/>
    <x v="15"/>
    <x v="1"/>
    <n v="1"/>
    <n v="30"/>
    <n v="10.199999999999999"/>
    <n v="30"/>
    <x v="0"/>
    <n v="10"/>
    <x v="5"/>
    <n v="11"/>
    <x v="6"/>
    <n v="4"/>
    <n v="19.8"/>
    <n v="0.66"/>
    <n v="0"/>
    <x v="0"/>
  </r>
  <r>
    <n v="137"/>
    <d v="2022-09-10T00:00:00"/>
    <d v="1899-12-30T20:42:00"/>
    <n v="66"/>
    <x v="0"/>
    <x v="1"/>
    <x v="1"/>
    <n v="2"/>
    <n v="500"/>
    <n v="125"/>
    <n v="1000"/>
    <x v="0"/>
    <n v="9"/>
    <x v="9"/>
    <n v="10"/>
    <x v="0"/>
    <n v="3"/>
    <n v="875"/>
    <n v="0.875"/>
    <n v="1"/>
    <x v="1"/>
  </r>
  <r>
    <n v="778"/>
    <d v="2023-12-13T00:00:00"/>
    <d v="1899-12-30T18:28:00"/>
    <n v="105"/>
    <x v="1"/>
    <x v="35"/>
    <x v="1"/>
    <n v="4"/>
    <n v="25"/>
    <n v="13.75"/>
    <n v="100"/>
    <x v="1"/>
    <n v="12"/>
    <x v="2"/>
    <n v="13"/>
    <x v="4"/>
    <n v="4"/>
    <n v="86.25"/>
    <n v="0.86250000000000004"/>
    <n v="0"/>
    <x v="0"/>
  </r>
  <r>
    <n v="1057"/>
    <d v="2023-09-19T00:00:00"/>
    <d v="1899-12-30T22:31:00"/>
    <n v="114"/>
    <x v="1"/>
    <x v="15"/>
    <x v="1"/>
    <n v="1"/>
    <n v="30"/>
    <n v="15.9"/>
    <n v="30"/>
    <x v="1"/>
    <n v="9"/>
    <x v="9"/>
    <n v="19"/>
    <x v="6"/>
    <n v="3"/>
    <n v="14.1"/>
    <n v="0.47"/>
    <n v="0"/>
    <x v="1"/>
  </r>
  <r>
    <n v="1137"/>
    <d v="2022-11-05T00:00:00"/>
    <d v="1899-12-30T22:34:00"/>
    <n v="104"/>
    <x v="0"/>
    <x v="1"/>
    <x v="1"/>
    <n v="2"/>
    <n v="500"/>
    <n v="145"/>
    <n v="1000"/>
    <x v="0"/>
    <n v="11"/>
    <x v="0"/>
    <n v="5"/>
    <x v="0"/>
    <n v="4"/>
    <n v="855"/>
    <n v="0.85499999999999998"/>
    <n v="1"/>
    <x v="0"/>
  </r>
  <r>
    <n v="1778"/>
    <d v="2023-12-30T00:00:00"/>
    <d v="1899-12-30T19:57:00"/>
    <n v="94"/>
    <x v="1"/>
    <x v="35"/>
    <x v="1"/>
    <n v="4"/>
    <n v="25"/>
    <n v="11.25"/>
    <n v="100"/>
    <x v="1"/>
    <n v="12"/>
    <x v="2"/>
    <n v="30"/>
    <x v="0"/>
    <n v="4"/>
    <n v="88.75"/>
    <n v="0.88749999999999996"/>
    <n v="0"/>
    <x v="0"/>
  </r>
  <r>
    <n v="599"/>
    <d v="2023-12-10T00:00:00"/>
    <d v="1899-12-30T19:07:00"/>
    <n v="82"/>
    <x v="1"/>
    <x v="32"/>
    <x v="1"/>
    <n v="2"/>
    <n v="50"/>
    <n v="24.5"/>
    <n v="100"/>
    <x v="1"/>
    <n v="12"/>
    <x v="2"/>
    <n v="10"/>
    <x v="5"/>
    <n v="4"/>
    <n v="75.5"/>
    <n v="0.755"/>
    <n v="0"/>
    <x v="0"/>
  </r>
  <r>
    <n v="938"/>
    <d v="2022-09-16T00:00:00"/>
    <d v="1899-12-30T17:55:00"/>
    <n v="103"/>
    <x v="0"/>
    <x v="28"/>
    <x v="0"/>
    <n v="4"/>
    <n v="50"/>
    <n v="23"/>
    <n v="200"/>
    <x v="0"/>
    <n v="9"/>
    <x v="9"/>
    <n v="16"/>
    <x v="3"/>
    <n v="3"/>
    <n v="177"/>
    <n v="0.88500000000000001"/>
    <n v="1"/>
    <x v="1"/>
  </r>
  <r>
    <n v="1599"/>
    <d v="2022-10-24T00:00:00"/>
    <d v="1899-12-30T17:23:00"/>
    <n v="110"/>
    <x v="1"/>
    <x v="32"/>
    <x v="1"/>
    <n v="2"/>
    <n v="50"/>
    <n v="20.5"/>
    <n v="100"/>
    <x v="0"/>
    <n v="10"/>
    <x v="5"/>
    <n v="24"/>
    <x v="1"/>
    <n v="4"/>
    <n v="79.5"/>
    <n v="0.79500000000000004"/>
    <n v="0"/>
    <x v="0"/>
  </r>
  <r>
    <n v="1938"/>
    <d v="2022-10-12T00:00:00"/>
    <d v="1899-12-30T20:15:00"/>
    <n v="76"/>
    <x v="0"/>
    <x v="28"/>
    <x v="0"/>
    <n v="4"/>
    <n v="50"/>
    <n v="13.5"/>
    <n v="200"/>
    <x v="0"/>
    <n v="10"/>
    <x v="5"/>
    <n v="12"/>
    <x v="4"/>
    <n v="4"/>
    <n v="186.5"/>
    <n v="0.9325"/>
    <n v="1"/>
    <x v="0"/>
  </r>
  <r>
    <n v="234"/>
    <d v="2023-12-09T00:00:00"/>
    <d v="1899-12-30T17:42:00"/>
    <n v="64"/>
    <x v="1"/>
    <x v="44"/>
    <x v="2"/>
    <n v="2"/>
    <n v="25"/>
    <n v="13.75"/>
    <n v="50"/>
    <x v="1"/>
    <n v="12"/>
    <x v="2"/>
    <n v="9"/>
    <x v="0"/>
    <n v="4"/>
    <n v="36.25"/>
    <n v="0.72499999999999998"/>
    <n v="0"/>
    <x v="0"/>
  </r>
  <r>
    <n v="1234"/>
    <d v="2023-09-07T00:00:00"/>
    <d v="1899-12-30T17:46:00"/>
    <n v="78"/>
    <x v="1"/>
    <x v="44"/>
    <x v="2"/>
    <n v="2"/>
    <n v="25"/>
    <n v="8.25"/>
    <n v="50"/>
    <x v="1"/>
    <n v="9"/>
    <x v="9"/>
    <n v="7"/>
    <x v="2"/>
    <n v="3"/>
    <n v="41.75"/>
    <n v="0.83499999999999996"/>
    <n v="0"/>
    <x v="1"/>
  </r>
  <r>
    <n v="410"/>
    <d v="2023-10-31T00:00:00"/>
    <d v="1899-12-30T19:41:00"/>
    <n v="64"/>
    <x v="1"/>
    <x v="33"/>
    <x v="0"/>
    <n v="2"/>
    <n v="50"/>
    <n v="14.5"/>
    <n v="100"/>
    <x v="1"/>
    <n v="10"/>
    <x v="5"/>
    <n v="31"/>
    <x v="6"/>
    <n v="4"/>
    <n v="85.5"/>
    <n v="0.85499999999999998"/>
    <n v="0"/>
    <x v="0"/>
  </r>
  <r>
    <n v="417"/>
    <d v="2023-10-01T00:00:00"/>
    <d v="1899-12-30T22:03:00"/>
    <n v="109"/>
    <x v="0"/>
    <x v="22"/>
    <x v="2"/>
    <n v="3"/>
    <n v="300"/>
    <n v="162"/>
    <n v="900"/>
    <x v="1"/>
    <n v="10"/>
    <x v="5"/>
    <n v="1"/>
    <x v="5"/>
    <n v="4"/>
    <n v="738"/>
    <n v="0.82"/>
    <n v="1"/>
    <x v="0"/>
  </r>
  <r>
    <n v="581"/>
    <d v="2022-12-15T00:00:00"/>
    <d v="1899-12-30T21:16:00"/>
    <n v="103"/>
    <x v="1"/>
    <x v="42"/>
    <x v="1"/>
    <n v="2"/>
    <n v="30"/>
    <n v="13.8"/>
    <n v="60"/>
    <x v="0"/>
    <n v="12"/>
    <x v="2"/>
    <n v="15"/>
    <x v="2"/>
    <n v="4"/>
    <n v="46.2"/>
    <n v="0.77"/>
    <n v="0"/>
    <x v="0"/>
  </r>
  <r>
    <n v="1410"/>
    <d v="2022-10-16T00:00:00"/>
    <d v="1899-12-30T18:47:00"/>
    <n v="72"/>
    <x v="1"/>
    <x v="33"/>
    <x v="0"/>
    <n v="2"/>
    <n v="50"/>
    <n v="22.5"/>
    <n v="100"/>
    <x v="0"/>
    <n v="10"/>
    <x v="5"/>
    <n v="16"/>
    <x v="5"/>
    <n v="4"/>
    <n v="77.5"/>
    <n v="0.77500000000000002"/>
    <n v="0"/>
    <x v="0"/>
  </r>
  <r>
    <n v="1417"/>
    <d v="2022-12-26T00:00:00"/>
    <d v="1899-12-30T17:43:00"/>
    <n v="54"/>
    <x v="0"/>
    <x v="22"/>
    <x v="2"/>
    <n v="3"/>
    <n v="300"/>
    <n v="147"/>
    <n v="900"/>
    <x v="0"/>
    <n v="12"/>
    <x v="2"/>
    <n v="26"/>
    <x v="1"/>
    <n v="4"/>
    <n v="753"/>
    <n v="0.83666666700000003"/>
    <n v="1"/>
    <x v="0"/>
  </r>
  <r>
    <n v="1581"/>
    <d v="2022-12-20T00:00:00"/>
    <d v="1899-12-30T18:57:00"/>
    <n v="108"/>
    <x v="1"/>
    <x v="42"/>
    <x v="1"/>
    <n v="2"/>
    <n v="30"/>
    <n v="9.9"/>
    <n v="60"/>
    <x v="0"/>
    <n v="12"/>
    <x v="2"/>
    <n v="20"/>
    <x v="6"/>
    <n v="4"/>
    <n v="50.1"/>
    <n v="0.83499999999999996"/>
    <n v="0"/>
    <x v="0"/>
  </r>
  <r>
    <n v="74"/>
    <d v="2023-10-05T00:00:00"/>
    <d v="1899-12-30T19:50:00"/>
    <n v="56"/>
    <x v="1"/>
    <x v="18"/>
    <x v="1"/>
    <n v="4"/>
    <n v="500"/>
    <n v="205"/>
    <n v="2000"/>
    <x v="1"/>
    <n v="10"/>
    <x v="5"/>
    <n v="5"/>
    <x v="2"/>
    <n v="4"/>
    <n v="1795"/>
    <n v="0.89749999999999996"/>
    <n v="1"/>
    <x v="0"/>
  </r>
  <r>
    <n v="87"/>
    <d v="2022-09-07T00:00:00"/>
    <d v="1899-12-30T18:09:00"/>
    <n v="104"/>
    <x v="1"/>
    <x v="32"/>
    <x v="1"/>
    <n v="2"/>
    <n v="50"/>
    <n v="15.5"/>
    <n v="100"/>
    <x v="0"/>
    <n v="9"/>
    <x v="9"/>
    <n v="7"/>
    <x v="4"/>
    <n v="3"/>
    <n v="84.5"/>
    <n v="0.84499999999999997"/>
    <n v="0"/>
    <x v="1"/>
  </r>
  <r>
    <n v="803"/>
    <d v="2022-10-25T00:00:00"/>
    <d v="1899-12-30T17:16:00"/>
    <n v="60"/>
    <x v="0"/>
    <x v="27"/>
    <x v="0"/>
    <n v="4"/>
    <n v="25"/>
    <n v="6.75"/>
    <n v="100"/>
    <x v="0"/>
    <n v="10"/>
    <x v="5"/>
    <n v="25"/>
    <x v="6"/>
    <n v="4"/>
    <n v="93.25"/>
    <n v="0.9325"/>
    <n v="0"/>
    <x v="0"/>
  </r>
  <r>
    <n v="1074"/>
    <d v="2022-10-04T00:00:00"/>
    <d v="1899-12-30T20:18:00"/>
    <n v="67"/>
    <x v="1"/>
    <x v="18"/>
    <x v="1"/>
    <n v="4"/>
    <n v="500"/>
    <n v="230"/>
    <n v="2000"/>
    <x v="0"/>
    <n v="10"/>
    <x v="5"/>
    <n v="4"/>
    <x v="6"/>
    <n v="4"/>
    <n v="1770"/>
    <n v="0.88500000000000001"/>
    <n v="1"/>
    <x v="0"/>
  </r>
  <r>
    <n v="1087"/>
    <d v="2022-11-08T00:00:00"/>
    <d v="1899-12-30T23:00:00"/>
    <n v="81"/>
    <x v="1"/>
    <x v="32"/>
    <x v="1"/>
    <n v="2"/>
    <n v="50"/>
    <n v="15"/>
    <n v="100"/>
    <x v="0"/>
    <n v="11"/>
    <x v="0"/>
    <n v="8"/>
    <x v="6"/>
    <n v="4"/>
    <n v="85"/>
    <n v="0.85"/>
    <n v="0"/>
    <x v="0"/>
  </r>
  <r>
    <n v="1803"/>
    <d v="2023-12-26T00:00:00"/>
    <d v="1899-12-30T19:36:00"/>
    <n v="101"/>
    <x v="0"/>
    <x v="27"/>
    <x v="0"/>
    <n v="4"/>
    <n v="25"/>
    <n v="8.5"/>
    <n v="100"/>
    <x v="1"/>
    <n v="12"/>
    <x v="2"/>
    <n v="26"/>
    <x v="6"/>
    <n v="4"/>
    <n v="91.5"/>
    <n v="0.91500000000000004"/>
    <n v="0"/>
    <x v="0"/>
  </r>
  <r>
    <n v="424"/>
    <d v="2023-12-20T00:00:00"/>
    <d v="1899-12-30T19:21:00"/>
    <n v="101"/>
    <x v="0"/>
    <x v="10"/>
    <x v="1"/>
    <n v="4"/>
    <n v="300"/>
    <n v="147"/>
    <n v="1200"/>
    <x v="1"/>
    <n v="12"/>
    <x v="2"/>
    <n v="20"/>
    <x v="4"/>
    <n v="4"/>
    <n v="1053"/>
    <n v="0.87749999999999995"/>
    <n v="1"/>
    <x v="0"/>
  </r>
  <r>
    <n v="641"/>
    <d v="2023-12-25T00:00:00"/>
    <d v="1899-12-30T18:30:00"/>
    <n v="105"/>
    <x v="1"/>
    <x v="2"/>
    <x v="2"/>
    <n v="1"/>
    <n v="300"/>
    <n v="144"/>
    <n v="300"/>
    <x v="1"/>
    <n v="12"/>
    <x v="2"/>
    <n v="25"/>
    <x v="1"/>
    <n v="4"/>
    <n v="156"/>
    <n v="0.52"/>
    <n v="1"/>
    <x v="0"/>
  </r>
  <r>
    <n v="918"/>
    <d v="2023-10-13T00:00:00"/>
    <d v="1899-12-30T21:59:00"/>
    <n v="114"/>
    <x v="1"/>
    <x v="25"/>
    <x v="2"/>
    <n v="3"/>
    <n v="30"/>
    <n v="16.2"/>
    <n v="90"/>
    <x v="1"/>
    <n v="10"/>
    <x v="5"/>
    <n v="13"/>
    <x v="3"/>
    <n v="4"/>
    <n v="73.8"/>
    <n v="0.82"/>
    <n v="0"/>
    <x v="0"/>
  </r>
  <r>
    <n v="1424"/>
    <d v="2023-09-05T00:00:00"/>
    <d v="1899-12-30T21:32:00"/>
    <n v="54"/>
    <x v="0"/>
    <x v="10"/>
    <x v="1"/>
    <n v="4"/>
    <n v="300"/>
    <n v="111"/>
    <n v="1200"/>
    <x v="1"/>
    <n v="9"/>
    <x v="9"/>
    <n v="5"/>
    <x v="6"/>
    <n v="3"/>
    <n v="1089"/>
    <n v="0.90749999999999997"/>
    <n v="1"/>
    <x v="1"/>
  </r>
  <r>
    <n v="1641"/>
    <d v="2022-09-01T00:00:00"/>
    <d v="1899-12-30T17:41:00"/>
    <n v="65"/>
    <x v="1"/>
    <x v="2"/>
    <x v="2"/>
    <n v="1"/>
    <n v="300"/>
    <n v="165"/>
    <n v="300"/>
    <x v="0"/>
    <n v="9"/>
    <x v="9"/>
    <n v="1"/>
    <x v="2"/>
    <n v="3"/>
    <n v="135"/>
    <n v="0.45"/>
    <n v="1"/>
    <x v="1"/>
  </r>
  <r>
    <n v="1918"/>
    <d v="2022-12-10T00:00:00"/>
    <d v="1899-12-30T21:57:00"/>
    <n v="56"/>
    <x v="1"/>
    <x v="25"/>
    <x v="2"/>
    <n v="3"/>
    <n v="30"/>
    <n v="13.2"/>
    <n v="90"/>
    <x v="0"/>
    <n v="12"/>
    <x v="2"/>
    <n v="10"/>
    <x v="0"/>
    <n v="4"/>
    <n v="76.8"/>
    <n v="0.85333333300000003"/>
    <n v="0"/>
    <x v="0"/>
  </r>
  <r>
    <n v="1"/>
    <d v="2022-12-16T00:00:00"/>
    <d v="1899-12-30T19:10:00"/>
    <n v="50"/>
    <x v="0"/>
    <x v="23"/>
    <x v="1"/>
    <n v="3"/>
    <n v="50"/>
    <n v="16"/>
    <n v="150"/>
    <x v="0"/>
    <n v="12"/>
    <x v="2"/>
    <n v="16"/>
    <x v="3"/>
    <n v="4"/>
    <n v="134"/>
    <n v="0.89333333299999995"/>
    <n v="1"/>
    <x v="0"/>
  </r>
  <r>
    <n v="95"/>
    <d v="2022-11-06T00:00:00"/>
    <d v="1899-12-30T19:57:00"/>
    <n v="103"/>
    <x v="1"/>
    <x v="37"/>
    <x v="0"/>
    <n v="2"/>
    <n v="30"/>
    <n v="7.5"/>
    <n v="60"/>
    <x v="0"/>
    <n v="11"/>
    <x v="0"/>
    <n v="6"/>
    <x v="5"/>
    <n v="4"/>
    <n v="52.5"/>
    <n v="0.875"/>
    <n v="0"/>
    <x v="0"/>
  </r>
  <r>
    <n v="171"/>
    <d v="2022-10-14T00:00:00"/>
    <d v="1899-12-30T20:10:00"/>
    <n v="109"/>
    <x v="1"/>
    <x v="41"/>
    <x v="0"/>
    <n v="3"/>
    <n v="300"/>
    <n v="126"/>
    <n v="900"/>
    <x v="0"/>
    <n v="10"/>
    <x v="5"/>
    <n v="14"/>
    <x v="3"/>
    <n v="4"/>
    <n v="774"/>
    <n v="0.86"/>
    <n v="1"/>
    <x v="0"/>
  </r>
  <r>
    <n v="1001"/>
    <d v="2023-09-01T00:00:00"/>
    <d v="1899-12-30T20:11:00"/>
    <n v="99"/>
    <x v="0"/>
    <x v="23"/>
    <x v="1"/>
    <n v="3"/>
    <n v="50"/>
    <n v="22"/>
    <n v="150"/>
    <x v="1"/>
    <n v="9"/>
    <x v="9"/>
    <n v="1"/>
    <x v="3"/>
    <n v="3"/>
    <n v="128"/>
    <n v="0.85333333300000003"/>
    <n v="1"/>
    <x v="1"/>
  </r>
  <r>
    <n v="1095"/>
    <d v="2022-09-05T00:00:00"/>
    <d v="1899-12-30T17:56:00"/>
    <n v="56"/>
    <x v="1"/>
    <x v="37"/>
    <x v="0"/>
    <n v="2"/>
    <n v="30"/>
    <n v="9.9"/>
    <n v="60"/>
    <x v="0"/>
    <n v="9"/>
    <x v="9"/>
    <n v="5"/>
    <x v="1"/>
    <n v="3"/>
    <n v="50.1"/>
    <n v="0.83499999999999996"/>
    <n v="0"/>
    <x v="1"/>
  </r>
  <r>
    <n v="1171"/>
    <d v="2022-10-05T00:00:00"/>
    <d v="1899-12-30T21:05:00"/>
    <n v="87"/>
    <x v="1"/>
    <x v="41"/>
    <x v="0"/>
    <n v="3"/>
    <n v="300"/>
    <n v="84"/>
    <n v="900"/>
    <x v="0"/>
    <n v="10"/>
    <x v="5"/>
    <n v="5"/>
    <x v="4"/>
    <n v="4"/>
    <n v="816"/>
    <n v="0.90666666699999998"/>
    <n v="1"/>
    <x v="0"/>
  </r>
  <r>
    <n v="156"/>
    <d v="2022-12-02T00:00:00"/>
    <d v="1899-12-30T19:34:00"/>
    <n v="60"/>
    <x v="1"/>
    <x v="22"/>
    <x v="0"/>
    <n v="4"/>
    <n v="25"/>
    <n v="7"/>
    <n v="100"/>
    <x v="0"/>
    <n v="12"/>
    <x v="2"/>
    <n v="2"/>
    <x v="3"/>
    <n v="4"/>
    <n v="93"/>
    <n v="0.93"/>
    <n v="0"/>
    <x v="0"/>
  </r>
  <r>
    <n v="493"/>
    <d v="2022-12-01T00:00:00"/>
    <d v="1899-12-30T20:10:00"/>
    <n v="95"/>
    <x v="0"/>
    <x v="0"/>
    <x v="1"/>
    <n v="2"/>
    <n v="25"/>
    <n v="7.75"/>
    <n v="50"/>
    <x v="0"/>
    <n v="12"/>
    <x v="2"/>
    <n v="1"/>
    <x v="2"/>
    <n v="4"/>
    <n v="42.25"/>
    <n v="0.84499999999999997"/>
    <n v="0"/>
    <x v="0"/>
  </r>
  <r>
    <n v="1156"/>
    <d v="2022-12-26T00:00:00"/>
    <d v="1899-12-30T21:10:00"/>
    <n v="68"/>
    <x v="1"/>
    <x v="22"/>
    <x v="0"/>
    <n v="4"/>
    <n v="25"/>
    <n v="13.5"/>
    <n v="100"/>
    <x v="0"/>
    <n v="12"/>
    <x v="2"/>
    <n v="26"/>
    <x v="1"/>
    <n v="4"/>
    <n v="86.5"/>
    <n v="0.86499999999999999"/>
    <n v="0"/>
    <x v="0"/>
  </r>
  <r>
    <n v="1493"/>
    <d v="2023-11-26T00:00:00"/>
    <d v="1899-12-30T21:49:00"/>
    <n v="58"/>
    <x v="0"/>
    <x v="0"/>
    <x v="1"/>
    <n v="2"/>
    <n v="25"/>
    <n v="6.75"/>
    <n v="50"/>
    <x v="1"/>
    <n v="11"/>
    <x v="0"/>
    <n v="26"/>
    <x v="5"/>
    <n v="4"/>
    <n v="43.25"/>
    <n v="0.86499999999999999"/>
    <n v="0"/>
    <x v="0"/>
  </r>
  <r>
    <n v="115"/>
    <d v="2022-09-02T00:00:00"/>
    <d v="1899-12-30T19:21:00"/>
    <n v="67"/>
    <x v="0"/>
    <x v="12"/>
    <x v="0"/>
    <n v="3"/>
    <n v="500"/>
    <n v="255"/>
    <n v="1500"/>
    <x v="0"/>
    <n v="9"/>
    <x v="9"/>
    <n v="2"/>
    <x v="3"/>
    <n v="3"/>
    <n v="1245"/>
    <n v="0.83"/>
    <n v="1"/>
    <x v="1"/>
  </r>
  <r>
    <n v="715"/>
    <d v="2022-10-11T00:00:00"/>
    <d v="1899-12-30T20:57:00"/>
    <n v="55"/>
    <x v="1"/>
    <x v="25"/>
    <x v="1"/>
    <n v="4"/>
    <n v="25"/>
    <n v="6.25"/>
    <n v="100"/>
    <x v="0"/>
    <n v="10"/>
    <x v="5"/>
    <n v="11"/>
    <x v="6"/>
    <n v="4"/>
    <n v="93.75"/>
    <n v="0.9375"/>
    <n v="0"/>
    <x v="0"/>
  </r>
  <r>
    <n v="1115"/>
    <d v="2023-09-21T00:00:00"/>
    <d v="1899-12-30T17:41:00"/>
    <n v="99"/>
    <x v="0"/>
    <x v="12"/>
    <x v="0"/>
    <n v="3"/>
    <n v="500"/>
    <n v="180"/>
    <n v="1500"/>
    <x v="1"/>
    <n v="9"/>
    <x v="9"/>
    <n v="21"/>
    <x v="2"/>
    <n v="3"/>
    <n v="1320"/>
    <n v="0.88"/>
    <n v="1"/>
    <x v="1"/>
  </r>
  <r>
    <n v="1715"/>
    <d v="2022-12-30T00:00:00"/>
    <d v="1899-12-30T19:35:00"/>
    <n v="89"/>
    <x v="1"/>
    <x v="25"/>
    <x v="1"/>
    <n v="4"/>
    <n v="25"/>
    <n v="9.75"/>
    <n v="100"/>
    <x v="0"/>
    <n v="12"/>
    <x v="2"/>
    <n v="30"/>
    <x v="3"/>
    <n v="4"/>
    <n v="90.25"/>
    <n v="0.90249999999999997"/>
    <n v="0"/>
    <x v="0"/>
  </r>
  <r>
    <n v="267"/>
    <d v="2022-11-19T00:00:00"/>
    <d v="1899-12-30T17:53:00"/>
    <n v="84"/>
    <x v="1"/>
    <x v="37"/>
    <x v="1"/>
    <n v="3"/>
    <n v="30"/>
    <n v="12"/>
    <n v="90"/>
    <x v="0"/>
    <n v="11"/>
    <x v="0"/>
    <n v="19"/>
    <x v="0"/>
    <n v="4"/>
    <n v="78"/>
    <n v="0.86666666699999995"/>
    <n v="0"/>
    <x v="0"/>
  </r>
  <r>
    <n v="362"/>
    <d v="2023-09-27T00:00:00"/>
    <d v="1899-12-30T22:43:00"/>
    <n v="101"/>
    <x v="0"/>
    <x v="20"/>
    <x v="0"/>
    <n v="1"/>
    <n v="25"/>
    <n v="10.25"/>
    <n v="25"/>
    <x v="1"/>
    <n v="9"/>
    <x v="9"/>
    <n v="27"/>
    <x v="4"/>
    <n v="3"/>
    <n v="14.75"/>
    <n v="0.59"/>
    <n v="0"/>
    <x v="1"/>
  </r>
  <r>
    <n v="856"/>
    <d v="2022-11-05T00:00:00"/>
    <d v="1899-12-30T17:43:00"/>
    <n v="102"/>
    <x v="0"/>
    <x v="29"/>
    <x v="2"/>
    <n v="4"/>
    <n v="30"/>
    <n v="9.3000000000000007"/>
    <n v="120"/>
    <x v="0"/>
    <n v="11"/>
    <x v="0"/>
    <n v="5"/>
    <x v="0"/>
    <n v="4"/>
    <n v="110.7"/>
    <n v="0.92249999999999999"/>
    <n v="0"/>
    <x v="0"/>
  </r>
  <r>
    <n v="1267"/>
    <d v="2022-12-23T00:00:00"/>
    <d v="1899-12-30T21:03:00"/>
    <n v="91"/>
    <x v="1"/>
    <x v="37"/>
    <x v="1"/>
    <n v="3"/>
    <n v="30"/>
    <n v="9.6"/>
    <n v="90"/>
    <x v="0"/>
    <n v="12"/>
    <x v="2"/>
    <n v="23"/>
    <x v="3"/>
    <n v="4"/>
    <n v="80.400000000000006"/>
    <n v="0.89333333299999995"/>
    <n v="0"/>
    <x v="0"/>
  </r>
  <r>
    <n v="1362"/>
    <d v="2023-11-21T00:00:00"/>
    <d v="1899-12-30T18:53:00"/>
    <n v="104"/>
    <x v="0"/>
    <x v="20"/>
    <x v="0"/>
    <n v="1"/>
    <n v="25"/>
    <n v="11"/>
    <n v="25"/>
    <x v="1"/>
    <n v="11"/>
    <x v="0"/>
    <n v="21"/>
    <x v="6"/>
    <n v="4"/>
    <n v="14"/>
    <n v="0.56000000000000005"/>
    <n v="0"/>
    <x v="0"/>
  </r>
  <r>
    <n v="1856"/>
    <d v="2023-12-20T00:00:00"/>
    <d v="1899-12-30T21:34:00"/>
    <n v="114"/>
    <x v="0"/>
    <x v="29"/>
    <x v="2"/>
    <n v="4"/>
    <n v="30"/>
    <n v="16.2"/>
    <n v="120"/>
    <x v="1"/>
    <n v="12"/>
    <x v="2"/>
    <n v="20"/>
    <x v="4"/>
    <n v="4"/>
    <n v="103.8"/>
    <n v="0.86499999999999999"/>
    <n v="0"/>
    <x v="0"/>
  </r>
  <r>
    <n v="84"/>
    <d v="2023-11-10T00:00:00"/>
    <d v="1899-12-30T17:17:00"/>
    <n v="89"/>
    <x v="1"/>
    <x v="9"/>
    <x v="2"/>
    <n v="3"/>
    <n v="30"/>
    <n v="10.199999999999999"/>
    <n v="90"/>
    <x v="1"/>
    <n v="11"/>
    <x v="0"/>
    <n v="10"/>
    <x v="3"/>
    <n v="4"/>
    <n v="79.8"/>
    <n v="0.88666666699999996"/>
    <n v="0"/>
    <x v="0"/>
  </r>
  <r>
    <n v="795"/>
    <d v="2023-10-03T00:00:00"/>
    <d v="1899-12-30T19:51:00"/>
    <n v="71"/>
    <x v="0"/>
    <x v="10"/>
    <x v="2"/>
    <n v="1"/>
    <n v="300"/>
    <n v="102"/>
    <n v="300"/>
    <x v="1"/>
    <n v="10"/>
    <x v="5"/>
    <n v="3"/>
    <x v="6"/>
    <n v="4"/>
    <n v="198"/>
    <n v="0.66"/>
    <n v="1"/>
    <x v="0"/>
  </r>
  <r>
    <n v="1084"/>
    <d v="2022-10-23T00:00:00"/>
    <d v="1899-12-30T20:37:00"/>
    <n v="93"/>
    <x v="1"/>
    <x v="9"/>
    <x v="2"/>
    <n v="3"/>
    <n v="30"/>
    <n v="7.8"/>
    <n v="90"/>
    <x v="0"/>
    <n v="10"/>
    <x v="5"/>
    <n v="23"/>
    <x v="5"/>
    <n v="4"/>
    <n v="82.2"/>
    <n v="0.91333333299999997"/>
    <n v="0"/>
    <x v="0"/>
  </r>
  <r>
    <n v="1795"/>
    <d v="2023-12-29T00:00:00"/>
    <d v="1899-12-30T18:50:00"/>
    <n v="86"/>
    <x v="0"/>
    <x v="10"/>
    <x v="2"/>
    <n v="1"/>
    <n v="300"/>
    <n v="105"/>
    <n v="300"/>
    <x v="1"/>
    <n v="12"/>
    <x v="2"/>
    <n v="29"/>
    <x v="3"/>
    <n v="4"/>
    <n v="195"/>
    <n v="0.65"/>
    <n v="1"/>
    <x v="0"/>
  </r>
  <r>
    <n v="24"/>
    <d v="2023-12-14T00:00:00"/>
    <d v="1899-12-30T22:59:00"/>
    <n v="59"/>
    <x v="1"/>
    <x v="28"/>
    <x v="0"/>
    <n v="1"/>
    <n v="300"/>
    <n v="87"/>
    <n v="300"/>
    <x v="1"/>
    <n v="12"/>
    <x v="2"/>
    <n v="14"/>
    <x v="2"/>
    <n v="4"/>
    <n v="213"/>
    <n v="0.71"/>
    <n v="1"/>
    <x v="0"/>
  </r>
  <r>
    <n v="215"/>
    <d v="2022-10-03T00:00:00"/>
    <d v="1899-12-30T21:20:00"/>
    <n v="101"/>
    <x v="0"/>
    <x v="43"/>
    <x v="0"/>
    <n v="3"/>
    <n v="500"/>
    <n v="145"/>
    <n v="1500"/>
    <x v="0"/>
    <n v="10"/>
    <x v="5"/>
    <n v="3"/>
    <x v="1"/>
    <n v="4"/>
    <n v="1355"/>
    <n v="0.90333333299999996"/>
    <n v="1"/>
    <x v="0"/>
  </r>
  <r>
    <n v="739"/>
    <d v="2023-10-14T00:00:00"/>
    <d v="1899-12-30T17:09:00"/>
    <n v="57"/>
    <x v="0"/>
    <x v="31"/>
    <x v="1"/>
    <n v="1"/>
    <n v="25"/>
    <n v="10.25"/>
    <n v="25"/>
    <x v="1"/>
    <n v="10"/>
    <x v="5"/>
    <n v="14"/>
    <x v="0"/>
    <n v="4"/>
    <n v="14.75"/>
    <n v="0.59"/>
    <n v="0"/>
    <x v="0"/>
  </r>
  <r>
    <n v="1024"/>
    <d v="2023-12-03T00:00:00"/>
    <d v="1899-12-30T21:51:00"/>
    <n v="72"/>
    <x v="1"/>
    <x v="28"/>
    <x v="0"/>
    <n v="1"/>
    <n v="300"/>
    <n v="126"/>
    <n v="300"/>
    <x v="1"/>
    <n v="12"/>
    <x v="2"/>
    <n v="3"/>
    <x v="5"/>
    <n v="4"/>
    <n v="174"/>
    <n v="0.57999999999999996"/>
    <n v="1"/>
    <x v="0"/>
  </r>
  <r>
    <n v="1215"/>
    <d v="2022-11-19T00:00:00"/>
    <d v="1899-12-30T20:44:00"/>
    <n v="107"/>
    <x v="0"/>
    <x v="43"/>
    <x v="0"/>
    <n v="3"/>
    <n v="500"/>
    <n v="130"/>
    <n v="1500"/>
    <x v="0"/>
    <n v="11"/>
    <x v="0"/>
    <n v="19"/>
    <x v="0"/>
    <n v="4"/>
    <n v="1370"/>
    <n v="0.91333333299999997"/>
    <n v="1"/>
    <x v="0"/>
  </r>
  <r>
    <n v="1739"/>
    <d v="2023-10-25T00:00:00"/>
    <d v="1899-12-30T17:52:00"/>
    <n v="67"/>
    <x v="0"/>
    <x v="31"/>
    <x v="1"/>
    <n v="1"/>
    <n v="25"/>
    <n v="11.25"/>
    <n v="25"/>
    <x v="1"/>
    <n v="10"/>
    <x v="5"/>
    <n v="25"/>
    <x v="4"/>
    <n v="4"/>
    <n v="13.75"/>
    <n v="0.55000000000000004"/>
    <n v="0"/>
    <x v="0"/>
  </r>
  <r>
    <n v="289"/>
    <d v="2023-09-09T00:00:00"/>
    <d v="1899-12-30T20:29:00"/>
    <n v="107"/>
    <x v="0"/>
    <x v="21"/>
    <x v="2"/>
    <n v="2"/>
    <n v="30"/>
    <n v="8.1"/>
    <n v="60"/>
    <x v="1"/>
    <n v="9"/>
    <x v="9"/>
    <n v="9"/>
    <x v="0"/>
    <n v="3"/>
    <n v="51.9"/>
    <n v="0.86499999999999999"/>
    <n v="0"/>
    <x v="1"/>
  </r>
  <r>
    <n v="741"/>
    <d v="2022-12-24T00:00:00"/>
    <d v="1899-12-30T22:30:00"/>
    <n v="53"/>
    <x v="0"/>
    <x v="42"/>
    <x v="0"/>
    <n v="1"/>
    <n v="300"/>
    <n v="141"/>
    <n v="300"/>
    <x v="0"/>
    <n v="12"/>
    <x v="2"/>
    <n v="24"/>
    <x v="0"/>
    <n v="4"/>
    <n v="159"/>
    <n v="0.53"/>
    <n v="1"/>
    <x v="0"/>
  </r>
  <r>
    <n v="810"/>
    <d v="2022-12-01T00:00:00"/>
    <d v="1899-12-30T18:04:00"/>
    <n v="76"/>
    <x v="0"/>
    <x v="26"/>
    <x v="2"/>
    <n v="4"/>
    <n v="25"/>
    <n v="13.75"/>
    <n v="100"/>
    <x v="0"/>
    <n v="12"/>
    <x v="2"/>
    <n v="1"/>
    <x v="2"/>
    <n v="4"/>
    <n v="86.25"/>
    <n v="0.86250000000000004"/>
    <n v="0"/>
    <x v="0"/>
  </r>
  <r>
    <n v="1289"/>
    <d v="2023-10-10T00:00:00"/>
    <d v="1899-12-30T19:35:00"/>
    <n v="83"/>
    <x v="0"/>
    <x v="21"/>
    <x v="2"/>
    <n v="2"/>
    <n v="30"/>
    <n v="16.2"/>
    <n v="60"/>
    <x v="1"/>
    <n v="10"/>
    <x v="5"/>
    <n v="10"/>
    <x v="6"/>
    <n v="4"/>
    <n v="43.8"/>
    <n v="0.73"/>
    <n v="0"/>
    <x v="0"/>
  </r>
  <r>
    <n v="1741"/>
    <d v="2023-09-02T00:00:00"/>
    <d v="1899-12-30T20:47:00"/>
    <n v="70"/>
    <x v="0"/>
    <x v="42"/>
    <x v="0"/>
    <n v="1"/>
    <n v="300"/>
    <n v="132"/>
    <n v="300"/>
    <x v="1"/>
    <n v="9"/>
    <x v="9"/>
    <n v="2"/>
    <x v="0"/>
    <n v="3"/>
    <n v="168"/>
    <n v="0.56000000000000005"/>
    <n v="1"/>
    <x v="1"/>
  </r>
  <r>
    <n v="1810"/>
    <d v="2023-09-22T00:00:00"/>
    <d v="1899-12-30T18:29:00"/>
    <n v="106"/>
    <x v="0"/>
    <x v="26"/>
    <x v="2"/>
    <n v="4"/>
    <n v="25"/>
    <n v="13.5"/>
    <n v="100"/>
    <x v="1"/>
    <n v="9"/>
    <x v="9"/>
    <n v="22"/>
    <x v="3"/>
    <n v="3"/>
    <n v="86.5"/>
    <n v="0.86499999999999999"/>
    <n v="0"/>
    <x v="1"/>
  </r>
  <r>
    <n v="266"/>
    <d v="2022-09-12T00:00:00"/>
    <d v="1899-12-30T18:26:00"/>
    <n v="66"/>
    <x v="1"/>
    <x v="4"/>
    <x v="2"/>
    <n v="2"/>
    <n v="30"/>
    <n v="14.4"/>
    <n v="60"/>
    <x v="0"/>
    <n v="9"/>
    <x v="9"/>
    <n v="12"/>
    <x v="1"/>
    <n v="3"/>
    <n v="45.6"/>
    <n v="0.76"/>
    <n v="0"/>
    <x v="1"/>
  </r>
  <r>
    <n v="389"/>
    <d v="2022-11-11T00:00:00"/>
    <d v="1899-12-30T19:06:00"/>
    <n v="109"/>
    <x v="0"/>
    <x v="40"/>
    <x v="0"/>
    <n v="2"/>
    <n v="25"/>
    <n v="12.25"/>
    <n v="50"/>
    <x v="0"/>
    <n v="11"/>
    <x v="0"/>
    <n v="11"/>
    <x v="3"/>
    <n v="4"/>
    <n v="37.75"/>
    <n v="0.755"/>
    <n v="0"/>
    <x v="0"/>
  </r>
  <r>
    <n v="1266"/>
    <d v="2023-09-03T00:00:00"/>
    <d v="1899-12-30T20:08:00"/>
    <n v="79"/>
    <x v="1"/>
    <x v="4"/>
    <x v="2"/>
    <n v="2"/>
    <n v="30"/>
    <n v="15.6"/>
    <n v="60"/>
    <x v="1"/>
    <n v="9"/>
    <x v="9"/>
    <n v="3"/>
    <x v="5"/>
    <n v="3"/>
    <n v="44.4"/>
    <n v="0.74"/>
    <n v="0"/>
    <x v="1"/>
  </r>
  <r>
    <n v="1389"/>
    <d v="2023-09-27T00:00:00"/>
    <d v="1899-12-30T18:11:00"/>
    <n v="60"/>
    <x v="0"/>
    <x v="40"/>
    <x v="0"/>
    <n v="2"/>
    <n v="25"/>
    <n v="9.5"/>
    <n v="50"/>
    <x v="1"/>
    <n v="9"/>
    <x v="9"/>
    <n v="27"/>
    <x v="4"/>
    <n v="3"/>
    <n v="40.5"/>
    <n v="0.81"/>
    <n v="0"/>
    <x v="1"/>
  </r>
  <r>
    <n v="112"/>
    <d v="2023-12-25T00:00:00"/>
    <d v="1899-12-30T18:44:00"/>
    <n v="57"/>
    <x v="0"/>
    <x v="5"/>
    <x v="0"/>
    <n v="3"/>
    <n v="500"/>
    <n v="165"/>
    <n v="1500"/>
    <x v="1"/>
    <n v="12"/>
    <x v="2"/>
    <n v="25"/>
    <x v="1"/>
    <n v="4"/>
    <n v="1335"/>
    <n v="0.89"/>
    <n v="1"/>
    <x v="0"/>
  </r>
  <r>
    <n v="566"/>
    <d v="2022-11-26T00:00:00"/>
    <d v="1899-12-30T19:15:00"/>
    <n v="106"/>
    <x v="1"/>
    <x v="3"/>
    <x v="0"/>
    <n v="1"/>
    <n v="30"/>
    <n v="8.4"/>
    <n v="30"/>
    <x v="0"/>
    <n v="11"/>
    <x v="0"/>
    <n v="26"/>
    <x v="0"/>
    <n v="4"/>
    <n v="21.6"/>
    <n v="0.72"/>
    <n v="0"/>
    <x v="0"/>
  </r>
  <r>
    <n v="608"/>
    <d v="2022-12-07T00:00:00"/>
    <d v="1899-12-30T22:19:00"/>
    <n v="112"/>
    <x v="1"/>
    <x v="46"/>
    <x v="2"/>
    <n v="3"/>
    <n v="500"/>
    <n v="200"/>
    <n v="1500"/>
    <x v="0"/>
    <n v="12"/>
    <x v="2"/>
    <n v="7"/>
    <x v="4"/>
    <n v="4"/>
    <n v="1300"/>
    <n v="0.86666666699999995"/>
    <n v="1"/>
    <x v="0"/>
  </r>
  <r>
    <n v="1112"/>
    <d v="2022-12-22T00:00:00"/>
    <d v="1899-12-30T17:11:00"/>
    <n v="94"/>
    <x v="0"/>
    <x v="5"/>
    <x v="0"/>
    <n v="3"/>
    <n v="500"/>
    <n v="180"/>
    <n v="1500"/>
    <x v="0"/>
    <n v="12"/>
    <x v="2"/>
    <n v="22"/>
    <x v="2"/>
    <n v="4"/>
    <n v="1320"/>
    <n v="0.88"/>
    <n v="1"/>
    <x v="0"/>
  </r>
  <r>
    <n v="1566"/>
    <d v="2022-10-03T00:00:00"/>
    <d v="1899-12-30T18:17:00"/>
    <n v="56"/>
    <x v="1"/>
    <x v="3"/>
    <x v="0"/>
    <n v="1"/>
    <n v="30"/>
    <n v="15.6"/>
    <n v="30"/>
    <x v="0"/>
    <n v="10"/>
    <x v="5"/>
    <n v="3"/>
    <x v="1"/>
    <n v="4"/>
    <n v="14.4"/>
    <n v="0.48"/>
    <n v="0"/>
    <x v="0"/>
  </r>
  <r>
    <n v="1608"/>
    <d v="2023-09-26T00:00:00"/>
    <d v="1899-12-30T21:01:00"/>
    <n v="87"/>
    <x v="1"/>
    <x v="46"/>
    <x v="2"/>
    <n v="3"/>
    <n v="500"/>
    <n v="265"/>
    <n v="1500"/>
    <x v="1"/>
    <n v="9"/>
    <x v="9"/>
    <n v="26"/>
    <x v="6"/>
    <n v="3"/>
    <n v="1235"/>
    <n v="0.823333333"/>
    <n v="1"/>
    <x v="1"/>
  </r>
  <r>
    <n v="348"/>
    <d v="2022-10-17T00:00:00"/>
    <d v="1899-12-30T20:20:00"/>
    <n v="83"/>
    <x v="1"/>
    <x v="39"/>
    <x v="2"/>
    <n v="2"/>
    <n v="300"/>
    <n v="147"/>
    <n v="600"/>
    <x v="0"/>
    <n v="10"/>
    <x v="5"/>
    <n v="17"/>
    <x v="1"/>
    <n v="4"/>
    <n v="453"/>
    <n v="0.755"/>
    <n v="1"/>
    <x v="0"/>
  </r>
  <r>
    <n v="1348"/>
    <d v="2023-10-25T00:00:00"/>
    <d v="1899-12-30T17:21:00"/>
    <n v="79"/>
    <x v="1"/>
    <x v="39"/>
    <x v="2"/>
    <n v="2"/>
    <n v="300"/>
    <n v="87"/>
    <n v="600"/>
    <x v="1"/>
    <n v="10"/>
    <x v="5"/>
    <n v="25"/>
    <x v="4"/>
    <n v="4"/>
    <n v="513"/>
    <n v="0.85499999999999998"/>
    <n v="1"/>
    <x v="0"/>
  </r>
  <r>
    <n v="199"/>
    <d v="2023-10-26T00:00:00"/>
    <d v="1899-12-30T21:34:00"/>
    <n v="53"/>
    <x v="0"/>
    <x v="14"/>
    <x v="1"/>
    <n v="3"/>
    <n v="500"/>
    <n v="135"/>
    <n v="1500"/>
    <x v="1"/>
    <n v="10"/>
    <x v="5"/>
    <n v="26"/>
    <x v="2"/>
    <n v="4"/>
    <n v="1365"/>
    <n v="0.91"/>
    <n v="1"/>
    <x v="0"/>
  </r>
  <r>
    <n v="258"/>
    <d v="2023-12-29T00:00:00"/>
    <d v="1899-12-30T17:40:00"/>
    <n v="109"/>
    <x v="1"/>
    <x v="5"/>
    <x v="0"/>
    <n v="1"/>
    <n v="50"/>
    <n v="22"/>
    <n v="50"/>
    <x v="1"/>
    <n v="12"/>
    <x v="2"/>
    <n v="29"/>
    <x v="3"/>
    <n v="4"/>
    <n v="28"/>
    <n v="0.56000000000000005"/>
    <n v="0"/>
    <x v="0"/>
  </r>
  <r>
    <n v="485"/>
    <d v="2022-11-08T00:00:00"/>
    <d v="1899-12-30T17:30:00"/>
    <n v="101"/>
    <x v="0"/>
    <x v="24"/>
    <x v="2"/>
    <n v="1"/>
    <n v="30"/>
    <n v="11.4"/>
    <n v="30"/>
    <x v="0"/>
    <n v="11"/>
    <x v="0"/>
    <n v="8"/>
    <x v="6"/>
    <n v="4"/>
    <n v="18.600000000000001"/>
    <n v="0.62"/>
    <n v="0"/>
    <x v="0"/>
  </r>
  <r>
    <n v="576"/>
    <d v="2023-12-25T00:00:00"/>
    <d v="1899-12-30T17:30:00"/>
    <n v="113"/>
    <x v="1"/>
    <x v="19"/>
    <x v="1"/>
    <n v="3"/>
    <n v="50"/>
    <n v="20"/>
    <n v="150"/>
    <x v="1"/>
    <n v="12"/>
    <x v="2"/>
    <n v="25"/>
    <x v="1"/>
    <n v="4"/>
    <n v="130"/>
    <n v="0.86666666699999995"/>
    <n v="1"/>
    <x v="0"/>
  </r>
  <r>
    <n v="1199"/>
    <d v="2023-12-16T00:00:00"/>
    <d v="1899-12-30T17:46:00"/>
    <n v="110"/>
    <x v="0"/>
    <x v="14"/>
    <x v="1"/>
    <n v="3"/>
    <n v="500"/>
    <n v="190"/>
    <n v="1500"/>
    <x v="1"/>
    <n v="12"/>
    <x v="2"/>
    <n v="16"/>
    <x v="0"/>
    <n v="4"/>
    <n v="1310"/>
    <n v="0.87333333300000004"/>
    <n v="1"/>
    <x v="0"/>
  </r>
  <r>
    <n v="1258"/>
    <d v="2022-12-03T00:00:00"/>
    <d v="1899-12-30T20:27:00"/>
    <n v="64"/>
    <x v="1"/>
    <x v="5"/>
    <x v="0"/>
    <n v="1"/>
    <n v="50"/>
    <n v="21.5"/>
    <n v="50"/>
    <x v="0"/>
    <n v="12"/>
    <x v="2"/>
    <n v="3"/>
    <x v="0"/>
    <n v="4"/>
    <n v="28.5"/>
    <n v="0.56999999999999995"/>
    <n v="0"/>
    <x v="0"/>
  </r>
  <r>
    <n v="1485"/>
    <d v="2022-09-24T00:00:00"/>
    <d v="1899-12-30T18:29:00"/>
    <n v="66"/>
    <x v="0"/>
    <x v="24"/>
    <x v="2"/>
    <n v="1"/>
    <n v="30"/>
    <n v="15.6"/>
    <n v="30"/>
    <x v="0"/>
    <n v="9"/>
    <x v="9"/>
    <n v="24"/>
    <x v="0"/>
    <n v="3"/>
    <n v="14.4"/>
    <n v="0.48"/>
    <n v="0"/>
    <x v="1"/>
  </r>
  <r>
    <n v="1576"/>
    <d v="2022-12-14T00:00:00"/>
    <d v="1899-12-30T18:34:00"/>
    <n v="108"/>
    <x v="1"/>
    <x v="19"/>
    <x v="1"/>
    <n v="3"/>
    <n v="50"/>
    <n v="27.5"/>
    <n v="150"/>
    <x v="0"/>
    <n v="12"/>
    <x v="2"/>
    <n v="14"/>
    <x v="4"/>
    <n v="4"/>
    <n v="122.5"/>
    <n v="0.81666666700000001"/>
    <n v="1"/>
    <x v="0"/>
  </r>
  <r>
    <n v="65"/>
    <d v="2022-12-11T00:00:00"/>
    <d v="1899-12-30T20:03:00"/>
    <n v="84"/>
    <x v="0"/>
    <x v="12"/>
    <x v="2"/>
    <n v="4"/>
    <n v="500"/>
    <n v="160"/>
    <n v="2000"/>
    <x v="0"/>
    <n v="12"/>
    <x v="2"/>
    <n v="11"/>
    <x v="5"/>
    <n v="4"/>
    <n v="1840"/>
    <n v="0.92"/>
    <n v="1"/>
    <x v="0"/>
  </r>
  <r>
    <n v="311"/>
    <d v="2023-11-20T00:00:00"/>
    <d v="1899-12-30T21:01:00"/>
    <n v="61"/>
    <x v="1"/>
    <x v="37"/>
    <x v="1"/>
    <n v="4"/>
    <n v="25"/>
    <n v="9.75"/>
    <n v="100"/>
    <x v="1"/>
    <n v="11"/>
    <x v="0"/>
    <n v="20"/>
    <x v="1"/>
    <n v="4"/>
    <n v="90.25"/>
    <n v="0.90249999999999997"/>
    <n v="0"/>
    <x v="0"/>
  </r>
  <r>
    <n v="791"/>
    <d v="2022-09-04T00:00:00"/>
    <d v="1899-12-30T16:28:00"/>
    <n v="106"/>
    <x v="1"/>
    <x v="12"/>
    <x v="1"/>
    <n v="1"/>
    <n v="25"/>
    <n v="11.75"/>
    <n v="25"/>
    <x v="0"/>
    <n v="9"/>
    <x v="9"/>
    <n v="4"/>
    <x v="5"/>
    <n v="3"/>
    <n v="13.25"/>
    <n v="0.53"/>
    <n v="0"/>
    <x v="1"/>
  </r>
  <r>
    <n v="971"/>
    <d v="2023-12-30T00:00:00"/>
    <d v="1899-12-30T16:50:00"/>
    <n v="64"/>
    <x v="1"/>
    <x v="17"/>
    <x v="2"/>
    <n v="4"/>
    <n v="50"/>
    <n v="26.5"/>
    <n v="200"/>
    <x v="1"/>
    <n v="12"/>
    <x v="2"/>
    <n v="30"/>
    <x v="0"/>
    <n v="4"/>
    <n v="173.5"/>
    <n v="0.86750000000000005"/>
    <n v="1"/>
    <x v="0"/>
  </r>
  <r>
    <n v="999"/>
    <d v="2022-12-14T00:00:00"/>
    <d v="1899-12-30T16:45:00"/>
    <n v="110"/>
    <x v="1"/>
    <x v="31"/>
    <x v="2"/>
    <n v="3"/>
    <n v="50"/>
    <n v="21.5"/>
    <n v="150"/>
    <x v="0"/>
    <n v="12"/>
    <x v="2"/>
    <n v="14"/>
    <x v="4"/>
    <n v="4"/>
    <n v="128.5"/>
    <n v="0.85666666700000005"/>
    <n v="1"/>
    <x v="0"/>
  </r>
  <r>
    <n v="1065"/>
    <d v="2023-10-24T00:00:00"/>
    <d v="1899-12-30T15:16:00"/>
    <n v="76"/>
    <x v="0"/>
    <x v="12"/>
    <x v="2"/>
    <n v="4"/>
    <n v="500"/>
    <n v="175"/>
    <n v="2000"/>
    <x v="1"/>
    <n v="10"/>
    <x v="5"/>
    <n v="24"/>
    <x v="6"/>
    <n v="4"/>
    <n v="1825"/>
    <n v="0.91249999999999998"/>
    <n v="1"/>
    <x v="0"/>
  </r>
  <r>
    <n v="1311"/>
    <d v="2023-11-24T00:00:00"/>
    <d v="1899-12-30T15:22:00"/>
    <n v="84"/>
    <x v="1"/>
    <x v="37"/>
    <x v="1"/>
    <n v="4"/>
    <n v="25"/>
    <n v="9.25"/>
    <n v="100"/>
    <x v="1"/>
    <n v="11"/>
    <x v="0"/>
    <n v="24"/>
    <x v="3"/>
    <n v="4"/>
    <n v="90.75"/>
    <n v="0.90749999999999997"/>
    <n v="0"/>
    <x v="0"/>
  </r>
  <r>
    <n v="1791"/>
    <d v="2022-10-06T00:00:00"/>
    <d v="1899-12-30T14:52:00"/>
    <n v="87"/>
    <x v="1"/>
    <x v="12"/>
    <x v="1"/>
    <n v="1"/>
    <n v="25"/>
    <n v="7"/>
    <n v="25"/>
    <x v="0"/>
    <n v="10"/>
    <x v="5"/>
    <n v="6"/>
    <x v="2"/>
    <n v="4"/>
    <n v="18"/>
    <n v="0.72"/>
    <n v="0"/>
    <x v="0"/>
  </r>
  <r>
    <n v="1971"/>
    <d v="2022-09-12T00:00:00"/>
    <d v="1899-12-30T16:19:00"/>
    <n v="90"/>
    <x v="1"/>
    <x v="17"/>
    <x v="2"/>
    <n v="4"/>
    <n v="50"/>
    <n v="19"/>
    <n v="200"/>
    <x v="0"/>
    <n v="9"/>
    <x v="9"/>
    <n v="12"/>
    <x v="1"/>
    <n v="3"/>
    <n v="181"/>
    <n v="0.90500000000000003"/>
    <n v="1"/>
    <x v="1"/>
  </r>
  <r>
    <n v="1999"/>
    <d v="2022-11-12T00:00:00"/>
    <d v="1899-12-30T13:06:00"/>
    <n v="61"/>
    <x v="1"/>
    <x v="31"/>
    <x v="2"/>
    <n v="3"/>
    <n v="50"/>
    <n v="13"/>
    <n v="150"/>
    <x v="0"/>
    <n v="11"/>
    <x v="0"/>
    <n v="12"/>
    <x v="0"/>
    <n v="4"/>
    <n v="137"/>
    <n v="0.91333333299999997"/>
    <n v="1"/>
    <x v="0"/>
  </r>
  <r>
    <n v="395"/>
    <d v="2022-12-01T00:00:00"/>
    <d v="1899-12-30T15:00:00"/>
    <n v="76"/>
    <x v="0"/>
    <x v="20"/>
    <x v="2"/>
    <n v="2"/>
    <n v="500"/>
    <n v="175"/>
    <n v="1000"/>
    <x v="0"/>
    <n v="12"/>
    <x v="2"/>
    <n v="1"/>
    <x v="2"/>
    <n v="4"/>
    <n v="825"/>
    <n v="0.82499999999999996"/>
    <n v="1"/>
    <x v="0"/>
  </r>
  <r>
    <n v="535"/>
    <d v="2023-11-20T00:00:00"/>
    <d v="1899-12-30T13:46:00"/>
    <n v="59"/>
    <x v="0"/>
    <x v="35"/>
    <x v="1"/>
    <n v="3"/>
    <n v="30"/>
    <n v="16.2"/>
    <n v="90"/>
    <x v="1"/>
    <n v="11"/>
    <x v="0"/>
    <n v="20"/>
    <x v="1"/>
    <n v="4"/>
    <n v="73.8"/>
    <n v="0.82"/>
    <n v="0"/>
    <x v="0"/>
  </r>
  <r>
    <n v="580"/>
    <d v="2022-11-14T00:00:00"/>
    <d v="1899-12-30T14:44:00"/>
    <n v="104"/>
    <x v="1"/>
    <x v="16"/>
    <x v="0"/>
    <n v="3"/>
    <n v="500"/>
    <n v="200"/>
    <n v="1500"/>
    <x v="0"/>
    <n v="11"/>
    <x v="0"/>
    <n v="14"/>
    <x v="1"/>
    <n v="4"/>
    <n v="1300"/>
    <n v="0.86666666699999995"/>
    <n v="1"/>
    <x v="0"/>
  </r>
  <r>
    <n v="712"/>
    <d v="2023-09-12T00:00:00"/>
    <d v="1899-12-30T14:15:00"/>
    <n v="108"/>
    <x v="1"/>
    <x v="10"/>
    <x v="1"/>
    <n v="2"/>
    <n v="25"/>
    <n v="11.5"/>
    <n v="50"/>
    <x v="1"/>
    <n v="9"/>
    <x v="9"/>
    <n v="12"/>
    <x v="6"/>
    <n v="3"/>
    <n v="38.5"/>
    <n v="0.77"/>
    <n v="0"/>
    <x v="1"/>
  </r>
  <r>
    <n v="868"/>
    <d v="2023-12-04T00:00:00"/>
    <d v="1899-12-30T13:39:00"/>
    <n v="110"/>
    <x v="1"/>
    <x v="38"/>
    <x v="2"/>
    <n v="1"/>
    <n v="300"/>
    <n v="111"/>
    <n v="300"/>
    <x v="1"/>
    <n v="12"/>
    <x v="2"/>
    <n v="4"/>
    <x v="1"/>
    <n v="4"/>
    <n v="189"/>
    <n v="0.63"/>
    <n v="1"/>
    <x v="0"/>
  </r>
  <r>
    <n v="1395"/>
    <d v="2023-09-10T00:00:00"/>
    <d v="1899-12-30T14:18:00"/>
    <n v="91"/>
    <x v="0"/>
    <x v="20"/>
    <x v="2"/>
    <n v="2"/>
    <n v="500"/>
    <n v="130"/>
    <n v="1000"/>
    <x v="1"/>
    <n v="9"/>
    <x v="9"/>
    <n v="10"/>
    <x v="5"/>
    <n v="3"/>
    <n v="870"/>
    <n v="0.87"/>
    <n v="1"/>
    <x v="1"/>
  </r>
  <r>
    <n v="1535"/>
    <d v="2023-12-18T00:00:00"/>
    <d v="1899-12-30T15:31:00"/>
    <n v="52"/>
    <x v="0"/>
    <x v="35"/>
    <x v="1"/>
    <n v="3"/>
    <n v="30"/>
    <n v="9.9"/>
    <n v="90"/>
    <x v="1"/>
    <n v="12"/>
    <x v="2"/>
    <n v="18"/>
    <x v="1"/>
    <n v="4"/>
    <n v="80.099999999999994"/>
    <n v="0.89"/>
    <n v="0"/>
    <x v="0"/>
  </r>
  <r>
    <n v="1580"/>
    <d v="2023-09-21T00:00:00"/>
    <d v="1899-12-30T15:47:00"/>
    <n v="105"/>
    <x v="1"/>
    <x v="16"/>
    <x v="0"/>
    <n v="3"/>
    <n v="500"/>
    <n v="250"/>
    <n v="1500"/>
    <x v="1"/>
    <n v="9"/>
    <x v="9"/>
    <n v="21"/>
    <x v="2"/>
    <n v="3"/>
    <n v="1250"/>
    <n v="0.83333333300000001"/>
    <n v="1"/>
    <x v="1"/>
  </r>
  <r>
    <n v="1712"/>
    <d v="2023-11-25T00:00:00"/>
    <d v="1899-12-30T16:37:00"/>
    <n v="92"/>
    <x v="1"/>
    <x v="10"/>
    <x v="1"/>
    <n v="2"/>
    <n v="25"/>
    <n v="8.75"/>
    <n v="50"/>
    <x v="1"/>
    <n v="11"/>
    <x v="0"/>
    <n v="25"/>
    <x v="0"/>
    <n v="4"/>
    <n v="41.25"/>
    <n v="0.82499999999999996"/>
    <n v="0"/>
    <x v="0"/>
  </r>
  <r>
    <n v="1868"/>
    <d v="2022-12-06T00:00:00"/>
    <d v="1899-12-30T16:23:00"/>
    <n v="78"/>
    <x v="1"/>
    <x v="38"/>
    <x v="2"/>
    <n v="1"/>
    <n v="300"/>
    <n v="138"/>
    <n v="300"/>
    <x v="0"/>
    <n v="12"/>
    <x v="2"/>
    <n v="6"/>
    <x v="6"/>
    <n v="4"/>
    <n v="162"/>
    <n v="0.54"/>
    <n v="1"/>
    <x v="0"/>
  </r>
  <r>
    <n v="531"/>
    <d v="2022-10-08T00:00:00"/>
    <d v="1899-12-30T12:30:00"/>
    <n v="105"/>
    <x v="0"/>
    <x v="16"/>
    <x v="2"/>
    <n v="1"/>
    <n v="500"/>
    <n v="275"/>
    <n v="500"/>
    <x v="0"/>
    <n v="10"/>
    <x v="5"/>
    <n v="8"/>
    <x v="0"/>
    <n v="4"/>
    <n v="225"/>
    <n v="0.45"/>
    <n v="1"/>
    <x v="0"/>
  </r>
  <r>
    <n v="550"/>
    <d v="2023-09-27T00:00:00"/>
    <d v="1899-12-30T16:58:00"/>
    <n v="80"/>
    <x v="0"/>
    <x v="2"/>
    <x v="0"/>
    <n v="3"/>
    <n v="300"/>
    <n v="90"/>
    <n v="900"/>
    <x v="1"/>
    <n v="9"/>
    <x v="9"/>
    <n v="27"/>
    <x v="4"/>
    <n v="3"/>
    <n v="810"/>
    <n v="0.9"/>
    <n v="1"/>
    <x v="1"/>
  </r>
  <r>
    <n v="1531"/>
    <d v="2022-09-22T00:00:00"/>
    <d v="1899-12-30T13:19:00"/>
    <n v="56"/>
    <x v="0"/>
    <x v="16"/>
    <x v="2"/>
    <n v="1"/>
    <n v="500"/>
    <n v="250"/>
    <n v="500"/>
    <x v="0"/>
    <n v="9"/>
    <x v="9"/>
    <n v="22"/>
    <x v="2"/>
    <n v="3"/>
    <n v="250"/>
    <n v="0.5"/>
    <n v="1"/>
    <x v="1"/>
  </r>
  <r>
    <n v="1550"/>
    <d v="2022-09-30T00:00:00"/>
    <d v="1899-12-30T13:11:00"/>
    <n v="73"/>
    <x v="0"/>
    <x v="2"/>
    <x v="0"/>
    <n v="3"/>
    <n v="300"/>
    <n v="147"/>
    <n v="900"/>
    <x v="0"/>
    <n v="9"/>
    <x v="9"/>
    <n v="30"/>
    <x v="3"/>
    <n v="3"/>
    <n v="753"/>
    <n v="0.83666666700000003"/>
    <n v="1"/>
    <x v="1"/>
  </r>
  <r>
    <n v="392"/>
    <d v="2022-12-21T00:00:00"/>
    <d v="1899-12-30T13:11:00"/>
    <n v="77"/>
    <x v="0"/>
    <x v="17"/>
    <x v="0"/>
    <n v="2"/>
    <n v="300"/>
    <n v="78"/>
    <n v="600"/>
    <x v="0"/>
    <n v="12"/>
    <x v="2"/>
    <n v="21"/>
    <x v="4"/>
    <n v="4"/>
    <n v="522"/>
    <n v="0.87"/>
    <n v="1"/>
    <x v="0"/>
  </r>
  <r>
    <n v="453"/>
    <d v="2022-10-14T00:00:00"/>
    <d v="1899-12-30T14:45:00"/>
    <n v="90"/>
    <x v="1"/>
    <x v="6"/>
    <x v="0"/>
    <n v="2"/>
    <n v="500"/>
    <n v="265"/>
    <n v="1000"/>
    <x v="0"/>
    <n v="10"/>
    <x v="5"/>
    <n v="14"/>
    <x v="3"/>
    <n v="4"/>
    <n v="735"/>
    <n v="0.73499999999999999"/>
    <n v="1"/>
    <x v="0"/>
  </r>
  <r>
    <n v="540"/>
    <d v="2022-12-22T00:00:00"/>
    <d v="1899-12-30T16:17:00"/>
    <n v="79"/>
    <x v="1"/>
    <x v="1"/>
    <x v="2"/>
    <n v="3"/>
    <n v="300"/>
    <n v="87"/>
    <n v="900"/>
    <x v="0"/>
    <n v="12"/>
    <x v="2"/>
    <n v="22"/>
    <x v="2"/>
    <n v="4"/>
    <n v="813"/>
    <n v="0.90333333299999996"/>
    <n v="1"/>
    <x v="0"/>
  </r>
  <r>
    <n v="625"/>
    <d v="2022-12-25T00:00:00"/>
    <d v="1899-12-30T13:36:00"/>
    <n v="68"/>
    <x v="0"/>
    <x v="16"/>
    <x v="0"/>
    <n v="1"/>
    <n v="300"/>
    <n v="123"/>
    <n v="300"/>
    <x v="0"/>
    <n v="12"/>
    <x v="2"/>
    <n v="25"/>
    <x v="5"/>
    <n v="4"/>
    <n v="177"/>
    <n v="0.59"/>
    <n v="1"/>
    <x v="0"/>
  </r>
  <r>
    <n v="1392"/>
    <d v="2022-09-12T00:00:00"/>
    <d v="1899-12-30T12:28:00"/>
    <n v="70"/>
    <x v="0"/>
    <x v="17"/>
    <x v="0"/>
    <n v="2"/>
    <n v="300"/>
    <n v="90"/>
    <n v="600"/>
    <x v="0"/>
    <n v="9"/>
    <x v="9"/>
    <n v="12"/>
    <x v="1"/>
    <n v="3"/>
    <n v="510"/>
    <n v="0.85"/>
    <n v="1"/>
    <x v="1"/>
  </r>
  <r>
    <n v="1453"/>
    <d v="2023-10-14T00:00:00"/>
    <d v="1899-12-30T13:24:00"/>
    <n v="113"/>
    <x v="1"/>
    <x v="6"/>
    <x v="0"/>
    <n v="2"/>
    <n v="500"/>
    <n v="205"/>
    <n v="1000"/>
    <x v="1"/>
    <n v="10"/>
    <x v="5"/>
    <n v="14"/>
    <x v="0"/>
    <n v="4"/>
    <n v="795"/>
    <n v="0.79500000000000004"/>
    <n v="1"/>
    <x v="0"/>
  </r>
  <r>
    <n v="1540"/>
    <d v="2023-10-12T00:00:00"/>
    <d v="1899-12-30T16:51:00"/>
    <n v="115"/>
    <x v="1"/>
    <x v="1"/>
    <x v="2"/>
    <n v="3"/>
    <n v="300"/>
    <n v="147"/>
    <n v="900"/>
    <x v="1"/>
    <n v="10"/>
    <x v="5"/>
    <n v="12"/>
    <x v="2"/>
    <n v="4"/>
    <n v="753"/>
    <n v="0.83666666700000003"/>
    <n v="1"/>
    <x v="0"/>
  </r>
  <r>
    <n v="1625"/>
    <d v="2023-09-27T00:00:00"/>
    <d v="1899-12-30T16:36:00"/>
    <n v="52"/>
    <x v="0"/>
    <x v="16"/>
    <x v="0"/>
    <n v="1"/>
    <n v="300"/>
    <n v="147"/>
    <n v="300"/>
    <x v="1"/>
    <n v="9"/>
    <x v="9"/>
    <n v="27"/>
    <x v="4"/>
    <n v="3"/>
    <n v="153"/>
    <n v="0.51"/>
    <n v="1"/>
    <x v="1"/>
  </r>
  <r>
    <n v="244"/>
    <d v="2023-09-14T00:00:00"/>
    <d v="1899-12-30T13:57:00"/>
    <n v="101"/>
    <x v="0"/>
    <x v="32"/>
    <x v="1"/>
    <n v="2"/>
    <n v="50"/>
    <n v="20.5"/>
    <n v="100"/>
    <x v="1"/>
    <n v="9"/>
    <x v="9"/>
    <n v="14"/>
    <x v="2"/>
    <n v="3"/>
    <n v="79.5"/>
    <n v="0.79500000000000004"/>
    <n v="0"/>
    <x v="1"/>
  </r>
  <r>
    <n v="355"/>
    <d v="2022-09-23T00:00:00"/>
    <d v="1899-12-30T13:42:00"/>
    <n v="96"/>
    <x v="1"/>
    <x v="46"/>
    <x v="2"/>
    <n v="1"/>
    <n v="500"/>
    <n v="260"/>
    <n v="500"/>
    <x v="0"/>
    <n v="9"/>
    <x v="9"/>
    <n v="23"/>
    <x v="3"/>
    <n v="3"/>
    <n v="240"/>
    <n v="0.48"/>
    <n v="1"/>
    <x v="1"/>
  </r>
  <r>
    <n v="468"/>
    <d v="2022-12-05T00:00:00"/>
    <d v="1899-12-30T14:32:00"/>
    <n v="86"/>
    <x v="0"/>
    <x v="2"/>
    <x v="2"/>
    <n v="1"/>
    <n v="25"/>
    <n v="12.25"/>
    <n v="25"/>
    <x v="0"/>
    <n v="12"/>
    <x v="2"/>
    <n v="5"/>
    <x v="1"/>
    <n v="4"/>
    <n v="12.75"/>
    <n v="0.51"/>
    <n v="0"/>
    <x v="0"/>
  </r>
  <r>
    <n v="700"/>
    <d v="2022-09-01T00:00:00"/>
    <d v="1899-12-30T15:07:00"/>
    <n v="61"/>
    <x v="0"/>
    <x v="31"/>
    <x v="2"/>
    <n v="4"/>
    <n v="500"/>
    <n v="250"/>
    <n v="2000"/>
    <x v="0"/>
    <n v="9"/>
    <x v="9"/>
    <n v="1"/>
    <x v="2"/>
    <n v="3"/>
    <n v="1750"/>
    <n v="0.875"/>
    <n v="1"/>
    <x v="1"/>
  </r>
  <r>
    <n v="752"/>
    <d v="2023-09-20T00:00:00"/>
    <d v="1899-12-30T16:06:00"/>
    <n v="79"/>
    <x v="0"/>
    <x v="33"/>
    <x v="0"/>
    <n v="2"/>
    <n v="50"/>
    <n v="13"/>
    <n v="100"/>
    <x v="1"/>
    <n v="9"/>
    <x v="9"/>
    <n v="20"/>
    <x v="4"/>
    <n v="3"/>
    <n v="87"/>
    <n v="0.87"/>
    <n v="0"/>
    <x v="1"/>
  </r>
  <r>
    <n v="828"/>
    <d v="2022-11-24T00:00:00"/>
    <d v="1899-12-30T15:54:00"/>
    <n v="76"/>
    <x v="1"/>
    <x v="19"/>
    <x v="2"/>
    <n v="4"/>
    <n v="300"/>
    <n v="132"/>
    <n v="1200"/>
    <x v="0"/>
    <n v="11"/>
    <x v="0"/>
    <n v="24"/>
    <x v="2"/>
    <n v="4"/>
    <n v="1068"/>
    <n v="0.89"/>
    <n v="1"/>
    <x v="0"/>
  </r>
  <r>
    <n v="1244"/>
    <d v="2022-12-11T00:00:00"/>
    <d v="1899-12-30T16:47:00"/>
    <n v="100"/>
    <x v="0"/>
    <x v="32"/>
    <x v="1"/>
    <n v="2"/>
    <n v="50"/>
    <n v="19.5"/>
    <n v="100"/>
    <x v="0"/>
    <n v="12"/>
    <x v="2"/>
    <n v="11"/>
    <x v="5"/>
    <n v="4"/>
    <n v="80.5"/>
    <n v="0.80500000000000005"/>
    <n v="0"/>
    <x v="0"/>
  </r>
  <r>
    <n v="1355"/>
    <d v="2023-09-17T00:00:00"/>
    <d v="1899-12-30T13:19:00"/>
    <n v="107"/>
    <x v="1"/>
    <x v="46"/>
    <x v="2"/>
    <n v="1"/>
    <n v="500"/>
    <n v="155"/>
    <n v="500"/>
    <x v="1"/>
    <n v="9"/>
    <x v="9"/>
    <n v="17"/>
    <x v="5"/>
    <n v="3"/>
    <n v="345"/>
    <n v="0.69"/>
    <n v="1"/>
    <x v="1"/>
  </r>
  <r>
    <n v="1468"/>
    <d v="2023-11-08T00:00:00"/>
    <d v="1899-12-30T13:14:00"/>
    <n v="73"/>
    <x v="0"/>
    <x v="2"/>
    <x v="2"/>
    <n v="1"/>
    <n v="25"/>
    <n v="9.75"/>
    <n v="25"/>
    <x v="1"/>
    <n v="11"/>
    <x v="0"/>
    <n v="8"/>
    <x v="4"/>
    <n v="4"/>
    <n v="15.25"/>
    <n v="0.61"/>
    <n v="0"/>
    <x v="0"/>
  </r>
  <r>
    <n v="1700"/>
    <d v="2023-09-27T00:00:00"/>
    <d v="1899-12-30T16:10:00"/>
    <n v="87"/>
    <x v="0"/>
    <x v="31"/>
    <x v="2"/>
    <n v="4"/>
    <n v="500"/>
    <n v="210"/>
    <n v="2000"/>
    <x v="1"/>
    <n v="9"/>
    <x v="9"/>
    <n v="27"/>
    <x v="4"/>
    <n v="3"/>
    <n v="1790"/>
    <n v="0.89500000000000002"/>
    <n v="1"/>
    <x v="1"/>
  </r>
  <r>
    <n v="1752"/>
    <d v="2023-10-21T00:00:00"/>
    <d v="1899-12-30T13:01:00"/>
    <n v="79"/>
    <x v="0"/>
    <x v="33"/>
    <x v="0"/>
    <n v="2"/>
    <n v="50"/>
    <n v="14.5"/>
    <n v="100"/>
    <x v="1"/>
    <n v="10"/>
    <x v="5"/>
    <n v="21"/>
    <x v="0"/>
    <n v="4"/>
    <n v="85.5"/>
    <n v="0.85499999999999998"/>
    <n v="0"/>
    <x v="0"/>
  </r>
  <r>
    <n v="1828"/>
    <d v="2022-10-14T00:00:00"/>
    <d v="1899-12-30T14:14:00"/>
    <n v="99"/>
    <x v="1"/>
    <x v="19"/>
    <x v="2"/>
    <n v="4"/>
    <n v="300"/>
    <n v="165"/>
    <n v="1200"/>
    <x v="0"/>
    <n v="10"/>
    <x v="5"/>
    <n v="14"/>
    <x v="3"/>
    <n v="4"/>
    <n v="1035"/>
    <n v="0.86250000000000004"/>
    <n v="1"/>
    <x v="0"/>
  </r>
  <r>
    <n v="80"/>
    <d v="2023-10-22T00:00:00"/>
    <d v="1899-12-30T16:51:00"/>
    <n v="82"/>
    <x v="1"/>
    <x v="3"/>
    <x v="0"/>
    <n v="2"/>
    <n v="30"/>
    <n v="12.3"/>
    <n v="60"/>
    <x v="1"/>
    <n v="10"/>
    <x v="5"/>
    <n v="22"/>
    <x v="5"/>
    <n v="4"/>
    <n v="47.7"/>
    <n v="0.79500000000000004"/>
    <n v="0"/>
    <x v="0"/>
  </r>
  <r>
    <n v="214"/>
    <d v="2022-11-05T00:00:00"/>
    <d v="1899-12-30T16:31:00"/>
    <n v="53"/>
    <x v="0"/>
    <x v="36"/>
    <x v="1"/>
    <n v="2"/>
    <n v="30"/>
    <n v="8.1"/>
    <n v="60"/>
    <x v="0"/>
    <n v="11"/>
    <x v="0"/>
    <n v="5"/>
    <x v="0"/>
    <n v="4"/>
    <n v="51.9"/>
    <n v="0.86499999999999999"/>
    <n v="0"/>
    <x v="0"/>
  </r>
  <r>
    <n v="361"/>
    <d v="2022-09-12T00:00:00"/>
    <d v="1899-12-30T16:37:00"/>
    <n v="112"/>
    <x v="1"/>
    <x v="23"/>
    <x v="2"/>
    <n v="4"/>
    <n v="300"/>
    <n v="81"/>
    <n v="1200"/>
    <x v="0"/>
    <n v="9"/>
    <x v="9"/>
    <n v="12"/>
    <x v="1"/>
    <n v="3"/>
    <n v="1119"/>
    <n v="0.9325"/>
    <n v="1"/>
    <x v="1"/>
  </r>
  <r>
    <n v="526"/>
    <d v="2022-11-19T00:00:00"/>
    <d v="1899-12-30T12:47:00"/>
    <n v="65"/>
    <x v="0"/>
    <x v="19"/>
    <x v="0"/>
    <n v="2"/>
    <n v="50"/>
    <n v="19.5"/>
    <n v="100"/>
    <x v="0"/>
    <n v="11"/>
    <x v="0"/>
    <n v="19"/>
    <x v="0"/>
    <n v="4"/>
    <n v="80.5"/>
    <n v="0.80500000000000005"/>
    <n v="0"/>
    <x v="0"/>
  </r>
  <r>
    <n v="1080"/>
    <d v="2022-12-08T00:00:00"/>
    <d v="1899-12-30T13:31:00"/>
    <n v="70"/>
    <x v="1"/>
    <x v="3"/>
    <x v="0"/>
    <n v="2"/>
    <n v="30"/>
    <n v="13.2"/>
    <n v="60"/>
    <x v="0"/>
    <n v="12"/>
    <x v="2"/>
    <n v="8"/>
    <x v="2"/>
    <n v="4"/>
    <n v="46.8"/>
    <n v="0.78"/>
    <n v="0"/>
    <x v="0"/>
  </r>
  <r>
    <n v="1214"/>
    <d v="2023-11-18T00:00:00"/>
    <d v="1899-12-30T14:24:00"/>
    <n v="50"/>
    <x v="0"/>
    <x v="36"/>
    <x v="1"/>
    <n v="2"/>
    <n v="30"/>
    <n v="11.1"/>
    <n v="60"/>
    <x v="1"/>
    <n v="11"/>
    <x v="0"/>
    <n v="18"/>
    <x v="0"/>
    <n v="4"/>
    <n v="48.9"/>
    <n v="0.81499999999999995"/>
    <n v="0"/>
    <x v="0"/>
  </r>
  <r>
    <n v="1361"/>
    <d v="2023-09-12T00:00:00"/>
    <d v="1899-12-30T16:00:00"/>
    <n v="89"/>
    <x v="1"/>
    <x v="23"/>
    <x v="2"/>
    <n v="4"/>
    <n v="300"/>
    <n v="153"/>
    <n v="1200"/>
    <x v="1"/>
    <n v="9"/>
    <x v="9"/>
    <n v="12"/>
    <x v="6"/>
    <n v="3"/>
    <n v="1047"/>
    <n v="0.87250000000000005"/>
    <n v="1"/>
    <x v="1"/>
  </r>
  <r>
    <n v="1526"/>
    <d v="2022-09-25T00:00:00"/>
    <d v="1899-12-30T15:06:00"/>
    <n v="84"/>
    <x v="0"/>
    <x v="19"/>
    <x v="0"/>
    <n v="2"/>
    <n v="50"/>
    <n v="26.5"/>
    <n v="100"/>
    <x v="0"/>
    <n v="9"/>
    <x v="9"/>
    <n v="25"/>
    <x v="5"/>
    <n v="3"/>
    <n v="73.5"/>
    <n v="0.73499999999999999"/>
    <n v="0"/>
    <x v="1"/>
  </r>
  <r>
    <n v="265"/>
    <d v="2022-11-24T00:00:00"/>
    <d v="1899-12-30T12:12:00"/>
    <n v="80"/>
    <x v="0"/>
    <x v="46"/>
    <x v="0"/>
    <n v="3"/>
    <n v="300"/>
    <n v="132"/>
    <n v="900"/>
    <x v="0"/>
    <n v="11"/>
    <x v="0"/>
    <n v="24"/>
    <x v="2"/>
    <n v="4"/>
    <n v="768"/>
    <n v="0.85333333300000003"/>
    <n v="1"/>
    <x v="0"/>
  </r>
  <r>
    <n v="586"/>
    <d v="2023-12-20T00:00:00"/>
    <d v="1899-12-30T14:57:00"/>
    <n v="84"/>
    <x v="0"/>
    <x v="20"/>
    <x v="2"/>
    <n v="1"/>
    <n v="50"/>
    <n v="21.5"/>
    <n v="50"/>
    <x v="1"/>
    <n v="12"/>
    <x v="2"/>
    <n v="20"/>
    <x v="4"/>
    <n v="4"/>
    <n v="28.5"/>
    <n v="0.56999999999999995"/>
    <n v="0"/>
    <x v="0"/>
  </r>
  <r>
    <n v="1265"/>
    <d v="2022-11-05T00:00:00"/>
    <d v="1899-12-30T14:35:00"/>
    <n v="86"/>
    <x v="0"/>
    <x v="46"/>
    <x v="0"/>
    <n v="3"/>
    <n v="300"/>
    <n v="111"/>
    <n v="900"/>
    <x v="0"/>
    <n v="11"/>
    <x v="0"/>
    <n v="5"/>
    <x v="0"/>
    <n v="4"/>
    <n v="789"/>
    <n v="0.87666666699999996"/>
    <n v="1"/>
    <x v="0"/>
  </r>
  <r>
    <n v="1586"/>
    <d v="2022-11-04T00:00:00"/>
    <d v="1899-12-30T16:25:00"/>
    <n v="59"/>
    <x v="0"/>
    <x v="20"/>
    <x v="2"/>
    <n v="1"/>
    <n v="50"/>
    <n v="14"/>
    <n v="50"/>
    <x v="0"/>
    <n v="11"/>
    <x v="0"/>
    <n v="4"/>
    <x v="3"/>
    <n v="4"/>
    <n v="36"/>
    <n v="0.72"/>
    <n v="0"/>
    <x v="0"/>
  </r>
  <r>
    <n v="336"/>
    <d v="2023-11-04T00:00:00"/>
    <d v="1899-12-30T13:05:00"/>
    <n v="67"/>
    <x v="1"/>
    <x v="41"/>
    <x v="1"/>
    <n v="3"/>
    <n v="50"/>
    <n v="25"/>
    <n v="150"/>
    <x v="1"/>
    <n v="11"/>
    <x v="0"/>
    <n v="4"/>
    <x v="0"/>
    <n v="4"/>
    <n v="125"/>
    <n v="0.83333333300000001"/>
    <n v="1"/>
    <x v="0"/>
  </r>
  <r>
    <n v="571"/>
    <d v="2022-10-20T00:00:00"/>
    <d v="1899-12-30T12:51:00"/>
    <n v="87"/>
    <x v="1"/>
    <x v="0"/>
    <x v="2"/>
    <n v="1"/>
    <n v="50"/>
    <n v="16"/>
    <n v="50"/>
    <x v="0"/>
    <n v="10"/>
    <x v="5"/>
    <n v="20"/>
    <x v="2"/>
    <n v="4"/>
    <n v="34"/>
    <n v="0.68"/>
    <n v="0"/>
    <x v="0"/>
  </r>
  <r>
    <n v="1336"/>
    <d v="2022-09-23T00:00:00"/>
    <d v="1899-12-30T13:27:00"/>
    <n v="74"/>
    <x v="1"/>
    <x v="41"/>
    <x v="1"/>
    <n v="3"/>
    <n v="50"/>
    <n v="21.5"/>
    <n v="150"/>
    <x v="0"/>
    <n v="9"/>
    <x v="9"/>
    <n v="23"/>
    <x v="3"/>
    <n v="3"/>
    <n v="128.5"/>
    <n v="0.85666666700000005"/>
    <n v="1"/>
    <x v="1"/>
  </r>
  <r>
    <n v="1571"/>
    <d v="2022-11-08T00:00:00"/>
    <d v="1899-12-30T14:55:00"/>
    <n v="105"/>
    <x v="1"/>
    <x v="0"/>
    <x v="2"/>
    <n v="1"/>
    <n v="50"/>
    <n v="25"/>
    <n v="50"/>
    <x v="0"/>
    <n v="11"/>
    <x v="0"/>
    <n v="8"/>
    <x v="6"/>
    <n v="4"/>
    <n v="25"/>
    <n v="0.5"/>
    <n v="0"/>
    <x v="0"/>
  </r>
  <r>
    <n v="9"/>
    <d v="2022-12-02T00:00:00"/>
    <d v="1899-12-30T13:12:00"/>
    <n v="85"/>
    <x v="0"/>
    <x v="15"/>
    <x v="2"/>
    <n v="2"/>
    <n v="300"/>
    <n v="78"/>
    <n v="600"/>
    <x v="0"/>
    <n v="12"/>
    <x v="2"/>
    <n v="2"/>
    <x v="3"/>
    <n v="4"/>
    <n v="522"/>
    <n v="0.87"/>
    <n v="1"/>
    <x v="0"/>
  </r>
  <r>
    <n v="552"/>
    <d v="2022-10-29T00:00:00"/>
    <d v="1899-12-30T13:32:00"/>
    <n v="85"/>
    <x v="1"/>
    <x v="28"/>
    <x v="2"/>
    <n v="3"/>
    <n v="25"/>
    <n v="9.75"/>
    <n v="75"/>
    <x v="0"/>
    <n v="10"/>
    <x v="5"/>
    <n v="29"/>
    <x v="0"/>
    <n v="4"/>
    <n v="65.25"/>
    <n v="0.87"/>
    <n v="0"/>
    <x v="0"/>
  </r>
  <r>
    <n v="771"/>
    <d v="2023-12-24T00:00:00"/>
    <d v="1899-12-30T12:23:00"/>
    <n v="70"/>
    <x v="0"/>
    <x v="24"/>
    <x v="2"/>
    <n v="2"/>
    <n v="25"/>
    <n v="11.75"/>
    <n v="50"/>
    <x v="1"/>
    <n v="12"/>
    <x v="2"/>
    <n v="24"/>
    <x v="5"/>
    <n v="4"/>
    <n v="38.25"/>
    <n v="0.76500000000000001"/>
    <n v="0"/>
    <x v="0"/>
  </r>
  <r>
    <n v="1009"/>
    <d v="2023-09-22T00:00:00"/>
    <d v="1899-12-30T14:18:00"/>
    <n v="88"/>
    <x v="0"/>
    <x v="15"/>
    <x v="2"/>
    <n v="2"/>
    <n v="300"/>
    <n v="78"/>
    <n v="600"/>
    <x v="1"/>
    <n v="9"/>
    <x v="9"/>
    <n v="22"/>
    <x v="3"/>
    <n v="3"/>
    <n v="522"/>
    <n v="0.87"/>
    <n v="1"/>
    <x v="1"/>
  </r>
  <r>
    <n v="1552"/>
    <d v="2022-09-25T00:00:00"/>
    <d v="1899-12-30T12:11:00"/>
    <n v="55"/>
    <x v="1"/>
    <x v="28"/>
    <x v="2"/>
    <n v="3"/>
    <n v="25"/>
    <n v="13"/>
    <n v="75"/>
    <x v="0"/>
    <n v="9"/>
    <x v="9"/>
    <n v="25"/>
    <x v="5"/>
    <n v="3"/>
    <n v="62"/>
    <n v="0.82666666700000002"/>
    <n v="0"/>
    <x v="1"/>
  </r>
  <r>
    <n v="1771"/>
    <d v="2023-09-13T00:00:00"/>
    <d v="1899-12-30T13:41:00"/>
    <n v="108"/>
    <x v="0"/>
    <x v="24"/>
    <x v="2"/>
    <n v="2"/>
    <n v="25"/>
    <n v="10.75"/>
    <n v="50"/>
    <x v="1"/>
    <n v="9"/>
    <x v="9"/>
    <n v="13"/>
    <x v="4"/>
    <n v="3"/>
    <n v="39.25"/>
    <n v="0.78500000000000003"/>
    <n v="0"/>
    <x v="1"/>
  </r>
  <r>
    <n v="496"/>
    <d v="2022-12-12T00:00:00"/>
    <d v="1899-12-30T13:07:00"/>
    <n v="91"/>
    <x v="0"/>
    <x v="8"/>
    <x v="0"/>
    <n v="2"/>
    <n v="300"/>
    <n v="141"/>
    <n v="600"/>
    <x v="0"/>
    <n v="12"/>
    <x v="2"/>
    <n v="12"/>
    <x v="1"/>
    <n v="4"/>
    <n v="459"/>
    <n v="0.76500000000000001"/>
    <n v="1"/>
    <x v="0"/>
  </r>
  <r>
    <n v="701"/>
    <d v="2023-11-29T00:00:00"/>
    <d v="1899-12-30T16:33:00"/>
    <n v="93"/>
    <x v="1"/>
    <x v="41"/>
    <x v="1"/>
    <n v="2"/>
    <n v="30"/>
    <n v="14.1"/>
    <n v="60"/>
    <x v="1"/>
    <n v="11"/>
    <x v="0"/>
    <n v="29"/>
    <x v="4"/>
    <n v="4"/>
    <n v="45.9"/>
    <n v="0.76500000000000001"/>
    <n v="0"/>
    <x v="0"/>
  </r>
  <r>
    <n v="1496"/>
    <d v="2022-09-03T00:00:00"/>
    <d v="1899-12-30T15:05:00"/>
    <n v="110"/>
    <x v="0"/>
    <x v="8"/>
    <x v="0"/>
    <n v="2"/>
    <n v="300"/>
    <n v="120"/>
    <n v="600"/>
    <x v="0"/>
    <n v="9"/>
    <x v="9"/>
    <n v="3"/>
    <x v="0"/>
    <n v="3"/>
    <n v="480"/>
    <n v="0.8"/>
    <n v="1"/>
    <x v="1"/>
  </r>
  <r>
    <n v="1701"/>
    <d v="2023-10-13T00:00:00"/>
    <d v="1899-12-30T15:09:00"/>
    <n v="62"/>
    <x v="1"/>
    <x v="41"/>
    <x v="1"/>
    <n v="2"/>
    <n v="30"/>
    <n v="15.9"/>
    <n v="60"/>
    <x v="1"/>
    <n v="10"/>
    <x v="5"/>
    <n v="13"/>
    <x v="3"/>
    <n v="4"/>
    <n v="44.1"/>
    <n v="0.73499999999999999"/>
    <n v="0"/>
    <x v="0"/>
  </r>
  <r>
    <n v="139"/>
    <d v="2023-09-15T00:00:00"/>
    <d v="1899-12-30T14:03:00"/>
    <n v="113"/>
    <x v="0"/>
    <x v="31"/>
    <x v="1"/>
    <n v="4"/>
    <n v="500"/>
    <n v="230"/>
    <n v="2000"/>
    <x v="1"/>
    <n v="9"/>
    <x v="9"/>
    <n v="15"/>
    <x v="3"/>
    <n v="3"/>
    <n v="1770"/>
    <n v="0.88500000000000001"/>
    <n v="1"/>
    <x v="1"/>
  </r>
  <r>
    <n v="151"/>
    <d v="2023-10-12T00:00:00"/>
    <d v="1899-12-30T15:49:00"/>
    <n v="108"/>
    <x v="0"/>
    <x v="33"/>
    <x v="0"/>
    <n v="1"/>
    <n v="50"/>
    <n v="18"/>
    <n v="50"/>
    <x v="1"/>
    <n v="10"/>
    <x v="5"/>
    <n v="12"/>
    <x v="2"/>
    <n v="4"/>
    <n v="32"/>
    <n v="0.64"/>
    <n v="0"/>
    <x v="0"/>
  </r>
  <r>
    <n v="1139"/>
    <d v="2023-12-21T00:00:00"/>
    <d v="1899-12-30T14:23:00"/>
    <n v="87"/>
    <x v="0"/>
    <x v="31"/>
    <x v="1"/>
    <n v="4"/>
    <n v="500"/>
    <n v="230"/>
    <n v="2000"/>
    <x v="1"/>
    <n v="12"/>
    <x v="2"/>
    <n v="21"/>
    <x v="2"/>
    <n v="4"/>
    <n v="1770"/>
    <n v="0.88500000000000001"/>
    <n v="1"/>
    <x v="0"/>
  </r>
  <r>
    <n v="1151"/>
    <d v="2022-12-12T00:00:00"/>
    <d v="1899-12-30T14:48:00"/>
    <n v="99"/>
    <x v="0"/>
    <x v="33"/>
    <x v="0"/>
    <n v="1"/>
    <n v="50"/>
    <n v="26"/>
    <n v="50"/>
    <x v="0"/>
    <n v="12"/>
    <x v="2"/>
    <n v="12"/>
    <x v="1"/>
    <n v="4"/>
    <n v="24"/>
    <n v="0.48"/>
    <n v="0"/>
    <x v="0"/>
  </r>
  <r>
    <n v="83"/>
    <d v="2022-11-27T00:00:00"/>
    <d v="1899-12-30T15:57:00"/>
    <n v="56"/>
    <x v="0"/>
    <x v="29"/>
    <x v="2"/>
    <n v="2"/>
    <n v="50"/>
    <n v="16.5"/>
    <n v="100"/>
    <x v="0"/>
    <n v="11"/>
    <x v="0"/>
    <n v="27"/>
    <x v="5"/>
    <n v="4"/>
    <n v="83.5"/>
    <n v="0.83499999999999996"/>
    <n v="0"/>
    <x v="0"/>
  </r>
  <r>
    <n v="153"/>
    <d v="2023-11-19T00:00:00"/>
    <d v="1899-12-30T15:52:00"/>
    <n v="62"/>
    <x v="0"/>
    <x v="15"/>
    <x v="2"/>
    <n v="2"/>
    <n v="500"/>
    <n v="195"/>
    <n v="1000"/>
    <x v="1"/>
    <n v="11"/>
    <x v="0"/>
    <n v="19"/>
    <x v="5"/>
    <n v="4"/>
    <n v="805"/>
    <n v="0.80500000000000005"/>
    <n v="1"/>
    <x v="0"/>
  </r>
  <r>
    <n v="451"/>
    <d v="2023-10-09T00:00:00"/>
    <d v="1899-12-30T15:38:00"/>
    <n v="74"/>
    <x v="1"/>
    <x v="14"/>
    <x v="2"/>
    <n v="1"/>
    <n v="30"/>
    <n v="13.5"/>
    <n v="30"/>
    <x v="1"/>
    <n v="10"/>
    <x v="5"/>
    <n v="9"/>
    <x v="1"/>
    <n v="4"/>
    <n v="16.5"/>
    <n v="0.55000000000000004"/>
    <n v="0"/>
    <x v="0"/>
  </r>
  <r>
    <n v="1083"/>
    <d v="2022-09-30T00:00:00"/>
    <d v="1899-12-30T15:46:00"/>
    <n v="99"/>
    <x v="0"/>
    <x v="29"/>
    <x v="2"/>
    <n v="2"/>
    <n v="50"/>
    <n v="17.5"/>
    <n v="100"/>
    <x v="0"/>
    <n v="9"/>
    <x v="9"/>
    <n v="30"/>
    <x v="3"/>
    <n v="3"/>
    <n v="82.5"/>
    <n v="0.82499999999999996"/>
    <n v="0"/>
    <x v="1"/>
  </r>
  <r>
    <n v="1153"/>
    <d v="2022-09-24T00:00:00"/>
    <d v="1899-12-30T12:30:00"/>
    <n v="91"/>
    <x v="0"/>
    <x v="15"/>
    <x v="2"/>
    <n v="2"/>
    <n v="500"/>
    <n v="265"/>
    <n v="1000"/>
    <x v="0"/>
    <n v="9"/>
    <x v="9"/>
    <n v="24"/>
    <x v="0"/>
    <n v="3"/>
    <n v="735"/>
    <n v="0.73499999999999999"/>
    <n v="1"/>
    <x v="1"/>
  </r>
  <r>
    <n v="1451"/>
    <d v="2022-09-23T00:00:00"/>
    <d v="1899-12-30T12:10:00"/>
    <n v="94"/>
    <x v="1"/>
    <x v="14"/>
    <x v="2"/>
    <n v="1"/>
    <n v="30"/>
    <n v="13.2"/>
    <n v="30"/>
    <x v="0"/>
    <n v="9"/>
    <x v="9"/>
    <n v="23"/>
    <x v="3"/>
    <n v="3"/>
    <n v="16.8"/>
    <n v="0.56000000000000005"/>
    <n v="0"/>
    <x v="1"/>
  </r>
  <r>
    <n v="99"/>
    <d v="2023-11-19T00:00:00"/>
    <d v="1899-12-30T15:12:00"/>
    <n v="71"/>
    <x v="1"/>
    <x v="20"/>
    <x v="2"/>
    <n v="4"/>
    <n v="300"/>
    <n v="132"/>
    <n v="1200"/>
    <x v="1"/>
    <n v="11"/>
    <x v="0"/>
    <n v="19"/>
    <x v="5"/>
    <n v="4"/>
    <n v="1068"/>
    <n v="0.89"/>
    <n v="1"/>
    <x v="0"/>
  </r>
  <r>
    <n v="783"/>
    <d v="2022-11-11T00:00:00"/>
    <d v="1899-12-30T15:37:00"/>
    <n v="91"/>
    <x v="1"/>
    <x v="34"/>
    <x v="0"/>
    <n v="1"/>
    <n v="300"/>
    <n v="150"/>
    <n v="300"/>
    <x v="0"/>
    <n v="11"/>
    <x v="0"/>
    <n v="11"/>
    <x v="3"/>
    <n v="4"/>
    <n v="150"/>
    <n v="0.5"/>
    <n v="1"/>
    <x v="0"/>
  </r>
  <r>
    <n v="1099"/>
    <d v="2022-12-24T00:00:00"/>
    <d v="1899-12-30T12:41:00"/>
    <n v="56"/>
    <x v="1"/>
    <x v="20"/>
    <x v="2"/>
    <n v="4"/>
    <n v="300"/>
    <n v="162"/>
    <n v="1200"/>
    <x v="0"/>
    <n v="12"/>
    <x v="2"/>
    <n v="24"/>
    <x v="0"/>
    <n v="4"/>
    <n v="1038"/>
    <n v="0.86499999999999999"/>
    <n v="1"/>
    <x v="0"/>
  </r>
  <r>
    <n v="1783"/>
    <d v="2023-09-05T00:00:00"/>
    <d v="1899-12-30T16:37:00"/>
    <n v="52"/>
    <x v="1"/>
    <x v="34"/>
    <x v="0"/>
    <n v="1"/>
    <n v="300"/>
    <n v="135"/>
    <n v="300"/>
    <x v="1"/>
    <n v="9"/>
    <x v="9"/>
    <n v="5"/>
    <x v="6"/>
    <n v="3"/>
    <n v="165"/>
    <n v="0.55000000000000004"/>
    <n v="1"/>
    <x v="1"/>
  </r>
  <r>
    <n v="409"/>
    <d v="2023-12-17T00:00:00"/>
    <d v="1899-12-30T12:30:00"/>
    <n v="55"/>
    <x v="1"/>
    <x v="40"/>
    <x v="2"/>
    <n v="3"/>
    <n v="300"/>
    <n v="87"/>
    <n v="900"/>
    <x v="1"/>
    <n v="12"/>
    <x v="2"/>
    <n v="17"/>
    <x v="5"/>
    <n v="4"/>
    <n v="813"/>
    <n v="0.90333333299999996"/>
    <n v="1"/>
    <x v="0"/>
  </r>
  <r>
    <n v="525"/>
    <d v="2022-09-05T00:00:00"/>
    <d v="1899-12-30T14:15:00"/>
    <n v="98"/>
    <x v="1"/>
    <x v="35"/>
    <x v="1"/>
    <n v="2"/>
    <n v="25"/>
    <n v="7"/>
    <n v="50"/>
    <x v="0"/>
    <n v="9"/>
    <x v="9"/>
    <n v="5"/>
    <x v="1"/>
    <n v="3"/>
    <n v="43"/>
    <n v="0.86"/>
    <n v="0"/>
    <x v="1"/>
  </r>
  <r>
    <n v="939"/>
    <d v="2022-11-07T00:00:00"/>
    <d v="1899-12-30T15:28:00"/>
    <n v="75"/>
    <x v="1"/>
    <x v="1"/>
    <x v="2"/>
    <n v="1"/>
    <n v="300"/>
    <n v="81"/>
    <n v="300"/>
    <x v="0"/>
    <n v="11"/>
    <x v="0"/>
    <n v="7"/>
    <x v="1"/>
    <n v="4"/>
    <n v="219"/>
    <n v="0.73"/>
    <n v="1"/>
    <x v="0"/>
  </r>
  <r>
    <n v="994"/>
    <d v="2022-12-24T00:00:00"/>
    <d v="1899-12-30T16:38:00"/>
    <n v="73"/>
    <x v="1"/>
    <x v="12"/>
    <x v="1"/>
    <n v="2"/>
    <n v="500"/>
    <n v="125"/>
    <n v="1000"/>
    <x v="0"/>
    <n v="12"/>
    <x v="2"/>
    <n v="24"/>
    <x v="0"/>
    <n v="4"/>
    <n v="875"/>
    <n v="0.875"/>
    <n v="1"/>
    <x v="0"/>
  </r>
  <r>
    <n v="1409"/>
    <d v="2023-11-22T00:00:00"/>
    <d v="1899-12-30T12:15:00"/>
    <n v="102"/>
    <x v="1"/>
    <x v="40"/>
    <x v="2"/>
    <n v="3"/>
    <n v="300"/>
    <n v="138"/>
    <n v="900"/>
    <x v="1"/>
    <n v="11"/>
    <x v="0"/>
    <n v="22"/>
    <x v="4"/>
    <n v="4"/>
    <n v="762"/>
    <n v="0.84666666700000004"/>
    <n v="1"/>
    <x v="0"/>
  </r>
  <r>
    <n v="1525"/>
    <d v="2022-12-13T00:00:00"/>
    <d v="1899-12-30T13:35:00"/>
    <n v="106"/>
    <x v="1"/>
    <x v="35"/>
    <x v="1"/>
    <n v="2"/>
    <n v="25"/>
    <n v="12"/>
    <n v="50"/>
    <x v="0"/>
    <n v="12"/>
    <x v="2"/>
    <n v="13"/>
    <x v="6"/>
    <n v="4"/>
    <n v="38"/>
    <n v="0.76"/>
    <n v="0"/>
    <x v="0"/>
  </r>
  <r>
    <n v="1939"/>
    <d v="2022-10-31T00:00:00"/>
    <d v="1899-12-30T13:30:00"/>
    <n v="74"/>
    <x v="1"/>
    <x v="1"/>
    <x v="2"/>
    <n v="1"/>
    <n v="300"/>
    <n v="135"/>
    <n v="300"/>
    <x v="0"/>
    <n v="10"/>
    <x v="5"/>
    <n v="31"/>
    <x v="1"/>
    <n v="4"/>
    <n v="165"/>
    <n v="0.55000000000000004"/>
    <n v="1"/>
    <x v="0"/>
  </r>
  <r>
    <n v="1994"/>
    <d v="2022-11-20T00:00:00"/>
    <d v="1899-12-30T13:27:00"/>
    <n v="86"/>
    <x v="1"/>
    <x v="12"/>
    <x v="1"/>
    <n v="2"/>
    <n v="500"/>
    <n v="250"/>
    <n v="1000"/>
    <x v="0"/>
    <n v="11"/>
    <x v="0"/>
    <n v="20"/>
    <x v="5"/>
    <n v="4"/>
    <n v="750"/>
    <n v="0.75"/>
    <n v="1"/>
    <x v="0"/>
  </r>
  <r>
    <n v="96"/>
    <d v="2023-11-22T00:00:00"/>
    <d v="1899-12-30T14:10:00"/>
    <n v="62"/>
    <x v="1"/>
    <x v="47"/>
    <x v="0"/>
    <n v="2"/>
    <n v="300"/>
    <n v="84"/>
    <n v="600"/>
    <x v="1"/>
    <n v="11"/>
    <x v="0"/>
    <n v="22"/>
    <x v="4"/>
    <n v="4"/>
    <n v="516"/>
    <n v="0.86"/>
    <n v="1"/>
    <x v="0"/>
  </r>
  <r>
    <n v="609"/>
    <d v="2023-11-19T00:00:00"/>
    <d v="1899-12-30T13:02:00"/>
    <n v="59"/>
    <x v="1"/>
    <x v="35"/>
    <x v="0"/>
    <n v="2"/>
    <n v="50"/>
    <n v="13"/>
    <n v="100"/>
    <x v="1"/>
    <n v="11"/>
    <x v="0"/>
    <n v="19"/>
    <x v="5"/>
    <n v="4"/>
    <n v="87"/>
    <n v="0.87"/>
    <n v="0"/>
    <x v="0"/>
  </r>
  <r>
    <n v="982"/>
    <d v="2022-11-10T00:00:00"/>
    <d v="1899-12-30T14:08:00"/>
    <n v="50"/>
    <x v="1"/>
    <x v="1"/>
    <x v="1"/>
    <n v="3"/>
    <n v="30"/>
    <n v="15.6"/>
    <n v="90"/>
    <x v="0"/>
    <n v="11"/>
    <x v="0"/>
    <n v="10"/>
    <x v="2"/>
    <n v="4"/>
    <n v="74.400000000000006"/>
    <n v="0.82666666700000002"/>
    <n v="0"/>
    <x v="0"/>
  </r>
  <r>
    <n v="1096"/>
    <d v="2022-12-01T00:00:00"/>
    <d v="1899-12-30T14:49:00"/>
    <n v="82"/>
    <x v="1"/>
    <x v="47"/>
    <x v="0"/>
    <n v="2"/>
    <n v="300"/>
    <n v="138"/>
    <n v="600"/>
    <x v="0"/>
    <n v="12"/>
    <x v="2"/>
    <n v="1"/>
    <x v="2"/>
    <n v="4"/>
    <n v="462"/>
    <n v="0.77"/>
    <n v="1"/>
    <x v="0"/>
  </r>
  <r>
    <n v="1609"/>
    <d v="2023-10-05T00:00:00"/>
    <d v="1899-12-30T13:58:00"/>
    <n v="81"/>
    <x v="1"/>
    <x v="35"/>
    <x v="0"/>
    <n v="2"/>
    <n v="50"/>
    <n v="22.5"/>
    <n v="100"/>
    <x v="1"/>
    <n v="10"/>
    <x v="5"/>
    <n v="5"/>
    <x v="2"/>
    <n v="4"/>
    <n v="77.5"/>
    <n v="0.77500000000000002"/>
    <n v="0"/>
    <x v="0"/>
  </r>
  <r>
    <n v="1982"/>
    <d v="2023-09-09T00:00:00"/>
    <d v="1899-12-30T12:46:00"/>
    <n v="110"/>
    <x v="1"/>
    <x v="1"/>
    <x v="1"/>
    <n v="3"/>
    <n v="30"/>
    <n v="16.5"/>
    <n v="90"/>
    <x v="1"/>
    <n v="9"/>
    <x v="9"/>
    <n v="9"/>
    <x v="0"/>
    <n v="3"/>
    <n v="73.5"/>
    <n v="0.81666666700000001"/>
    <n v="0"/>
    <x v="1"/>
  </r>
  <r>
    <n v="209"/>
    <d v="2022-09-03T00:00:00"/>
    <d v="1899-12-30T12:22:00"/>
    <n v="61"/>
    <x v="1"/>
    <x v="7"/>
    <x v="2"/>
    <n v="4"/>
    <n v="50"/>
    <n v="14"/>
    <n v="200"/>
    <x v="0"/>
    <n v="9"/>
    <x v="9"/>
    <n v="3"/>
    <x v="0"/>
    <n v="3"/>
    <n v="186"/>
    <n v="0.93"/>
    <n v="1"/>
    <x v="1"/>
  </r>
  <r>
    <n v="435"/>
    <d v="2023-12-15T00:00:00"/>
    <d v="1899-12-30T13:41:00"/>
    <n v="113"/>
    <x v="1"/>
    <x v="7"/>
    <x v="1"/>
    <n v="3"/>
    <n v="300"/>
    <n v="108"/>
    <n v="900"/>
    <x v="1"/>
    <n v="12"/>
    <x v="2"/>
    <n v="15"/>
    <x v="3"/>
    <n v="4"/>
    <n v="792"/>
    <n v="0.88"/>
    <n v="1"/>
    <x v="0"/>
  </r>
  <r>
    <n v="777"/>
    <d v="2022-09-10T00:00:00"/>
    <d v="1899-12-30T15:07:00"/>
    <n v="54"/>
    <x v="0"/>
    <x v="42"/>
    <x v="2"/>
    <n v="3"/>
    <n v="50"/>
    <n v="17"/>
    <n v="150"/>
    <x v="0"/>
    <n v="9"/>
    <x v="9"/>
    <n v="10"/>
    <x v="0"/>
    <n v="3"/>
    <n v="133"/>
    <n v="0.88666666699999996"/>
    <n v="1"/>
    <x v="1"/>
  </r>
  <r>
    <n v="854"/>
    <d v="2022-10-01T00:00:00"/>
    <d v="1899-12-30T15:42:00"/>
    <n v="84"/>
    <x v="0"/>
    <x v="33"/>
    <x v="0"/>
    <n v="1"/>
    <n v="50"/>
    <n v="22"/>
    <n v="50"/>
    <x v="0"/>
    <n v="10"/>
    <x v="5"/>
    <n v="1"/>
    <x v="0"/>
    <n v="4"/>
    <n v="28"/>
    <n v="0.56000000000000005"/>
    <n v="0"/>
    <x v="0"/>
  </r>
  <r>
    <n v="890"/>
    <d v="2023-12-25T00:00:00"/>
    <d v="1899-12-30T14:44:00"/>
    <n v="76"/>
    <x v="0"/>
    <x v="23"/>
    <x v="2"/>
    <n v="2"/>
    <n v="25"/>
    <n v="13.5"/>
    <n v="50"/>
    <x v="1"/>
    <n v="12"/>
    <x v="2"/>
    <n v="25"/>
    <x v="1"/>
    <n v="4"/>
    <n v="36.5"/>
    <n v="0.73"/>
    <n v="0"/>
    <x v="0"/>
  </r>
  <r>
    <n v="1209"/>
    <d v="2022-12-06T00:00:00"/>
    <d v="1899-12-30T12:37:00"/>
    <n v="55"/>
    <x v="1"/>
    <x v="7"/>
    <x v="2"/>
    <n v="4"/>
    <n v="50"/>
    <n v="23"/>
    <n v="200"/>
    <x v="0"/>
    <n v="12"/>
    <x v="2"/>
    <n v="6"/>
    <x v="6"/>
    <n v="4"/>
    <n v="177"/>
    <n v="0.88500000000000001"/>
    <n v="1"/>
    <x v="0"/>
  </r>
  <r>
    <n v="1435"/>
    <d v="2022-10-27T00:00:00"/>
    <d v="1899-12-30T13:31:00"/>
    <n v="61"/>
    <x v="1"/>
    <x v="7"/>
    <x v="1"/>
    <n v="3"/>
    <n v="300"/>
    <n v="114"/>
    <n v="900"/>
    <x v="0"/>
    <n v="10"/>
    <x v="5"/>
    <n v="27"/>
    <x v="2"/>
    <n v="4"/>
    <n v="786"/>
    <n v="0.87333333300000004"/>
    <n v="1"/>
    <x v="0"/>
  </r>
  <r>
    <n v="1777"/>
    <d v="2023-11-15T00:00:00"/>
    <d v="1899-12-30T12:06:00"/>
    <n v="74"/>
    <x v="0"/>
    <x v="42"/>
    <x v="2"/>
    <n v="3"/>
    <n v="50"/>
    <n v="19.5"/>
    <n v="150"/>
    <x v="1"/>
    <n v="11"/>
    <x v="0"/>
    <n v="15"/>
    <x v="4"/>
    <n v="4"/>
    <n v="130.5"/>
    <n v="0.87"/>
    <n v="1"/>
    <x v="0"/>
  </r>
  <r>
    <n v="1854"/>
    <d v="2023-11-25T00:00:00"/>
    <d v="1899-12-30T16:53:00"/>
    <n v="109"/>
    <x v="0"/>
    <x v="33"/>
    <x v="0"/>
    <n v="1"/>
    <n v="50"/>
    <n v="22.5"/>
    <n v="50"/>
    <x v="1"/>
    <n v="11"/>
    <x v="0"/>
    <n v="25"/>
    <x v="0"/>
    <n v="4"/>
    <n v="27.5"/>
    <n v="0.55000000000000004"/>
    <n v="0"/>
    <x v="0"/>
  </r>
  <r>
    <n v="1890"/>
    <d v="2023-10-18T00:00:00"/>
    <d v="1899-12-30T14:20:00"/>
    <n v="51"/>
    <x v="0"/>
    <x v="23"/>
    <x v="2"/>
    <n v="2"/>
    <n v="25"/>
    <n v="6.25"/>
    <n v="50"/>
    <x v="1"/>
    <n v="10"/>
    <x v="5"/>
    <n v="18"/>
    <x v="4"/>
    <n v="4"/>
    <n v="43.75"/>
    <n v="0.875"/>
    <n v="0"/>
    <x v="0"/>
  </r>
  <r>
    <n v="865"/>
    <d v="2023-12-17T00:00:00"/>
    <d v="1899-12-30T14:49:00"/>
    <n v="78"/>
    <x v="1"/>
    <x v="25"/>
    <x v="0"/>
    <n v="1"/>
    <n v="300"/>
    <n v="108"/>
    <n v="300"/>
    <x v="1"/>
    <n v="12"/>
    <x v="2"/>
    <n v="17"/>
    <x v="5"/>
    <n v="4"/>
    <n v="192"/>
    <n v="0.64"/>
    <n v="1"/>
    <x v="0"/>
  </r>
  <r>
    <n v="1865"/>
    <d v="2022-11-18T00:00:00"/>
    <d v="1899-12-30T14:52:00"/>
    <n v="107"/>
    <x v="1"/>
    <x v="25"/>
    <x v="0"/>
    <n v="1"/>
    <n v="300"/>
    <n v="156"/>
    <n v="300"/>
    <x v="0"/>
    <n v="11"/>
    <x v="0"/>
    <n v="18"/>
    <x v="3"/>
    <n v="4"/>
    <n v="144"/>
    <n v="0.48"/>
    <n v="1"/>
    <x v="0"/>
  </r>
  <r>
    <n v="662"/>
    <d v="2022-12-03T00:00:00"/>
    <d v="1899-12-30T12:40:00"/>
    <n v="100"/>
    <x v="0"/>
    <x v="42"/>
    <x v="1"/>
    <n v="2"/>
    <n v="500"/>
    <n v="145"/>
    <n v="1000"/>
    <x v="0"/>
    <n v="12"/>
    <x v="2"/>
    <n v="3"/>
    <x v="0"/>
    <n v="4"/>
    <n v="855"/>
    <n v="0.85499999999999998"/>
    <n v="1"/>
    <x v="0"/>
  </r>
  <r>
    <n v="1662"/>
    <d v="2023-12-20T00:00:00"/>
    <d v="1899-12-30T12:38:00"/>
    <n v="106"/>
    <x v="0"/>
    <x v="42"/>
    <x v="1"/>
    <n v="2"/>
    <n v="500"/>
    <n v="240"/>
    <n v="1000"/>
    <x v="1"/>
    <n v="12"/>
    <x v="2"/>
    <n v="20"/>
    <x v="4"/>
    <n v="4"/>
    <n v="760"/>
    <n v="0.76"/>
    <n v="1"/>
    <x v="0"/>
  </r>
  <r>
    <n v="309"/>
    <d v="2023-10-12T00:00:00"/>
    <d v="1899-12-30T15:39:00"/>
    <n v="78"/>
    <x v="1"/>
    <x v="6"/>
    <x v="1"/>
    <n v="1"/>
    <n v="25"/>
    <n v="9"/>
    <n v="25"/>
    <x v="1"/>
    <n v="10"/>
    <x v="5"/>
    <n v="12"/>
    <x v="2"/>
    <n v="4"/>
    <n v="16"/>
    <n v="0.64"/>
    <n v="0"/>
    <x v="0"/>
  </r>
  <r>
    <n v="544"/>
    <d v="2023-10-31T00:00:00"/>
    <d v="1899-12-30T13:46:00"/>
    <n v="95"/>
    <x v="1"/>
    <x v="17"/>
    <x v="2"/>
    <n v="1"/>
    <n v="25"/>
    <n v="10.25"/>
    <n v="25"/>
    <x v="1"/>
    <n v="10"/>
    <x v="5"/>
    <n v="31"/>
    <x v="6"/>
    <n v="4"/>
    <n v="14.75"/>
    <n v="0.59"/>
    <n v="0"/>
    <x v="0"/>
  </r>
  <r>
    <n v="602"/>
    <d v="2023-12-12T00:00:00"/>
    <d v="1899-12-30T16:46:00"/>
    <n v="75"/>
    <x v="1"/>
    <x v="36"/>
    <x v="2"/>
    <n v="1"/>
    <n v="300"/>
    <n v="96"/>
    <n v="300"/>
    <x v="1"/>
    <n v="12"/>
    <x v="2"/>
    <n v="12"/>
    <x v="6"/>
    <n v="4"/>
    <n v="204"/>
    <n v="0.68"/>
    <n v="1"/>
    <x v="0"/>
  </r>
  <r>
    <n v="615"/>
    <d v="2022-10-31T00:00:00"/>
    <d v="1899-12-30T15:06:00"/>
    <n v="58"/>
    <x v="1"/>
    <x v="45"/>
    <x v="0"/>
    <n v="4"/>
    <n v="25"/>
    <n v="10.5"/>
    <n v="100"/>
    <x v="0"/>
    <n v="10"/>
    <x v="5"/>
    <n v="31"/>
    <x v="1"/>
    <n v="4"/>
    <n v="89.5"/>
    <n v="0.89500000000000002"/>
    <n v="0"/>
    <x v="0"/>
  </r>
  <r>
    <n v="678"/>
    <d v="2022-11-17T00:00:00"/>
    <d v="1899-12-30T15:55:00"/>
    <n v="70"/>
    <x v="1"/>
    <x v="13"/>
    <x v="2"/>
    <n v="3"/>
    <n v="300"/>
    <n v="144"/>
    <n v="900"/>
    <x v="0"/>
    <n v="11"/>
    <x v="0"/>
    <n v="17"/>
    <x v="2"/>
    <n v="4"/>
    <n v="756"/>
    <n v="0.84"/>
    <n v="1"/>
    <x v="0"/>
  </r>
  <r>
    <n v="781"/>
    <d v="2022-10-19T00:00:00"/>
    <d v="1899-12-30T16:52:00"/>
    <n v="106"/>
    <x v="0"/>
    <x v="39"/>
    <x v="1"/>
    <n v="1"/>
    <n v="500"/>
    <n v="225"/>
    <n v="500"/>
    <x v="0"/>
    <n v="10"/>
    <x v="5"/>
    <n v="19"/>
    <x v="4"/>
    <n v="4"/>
    <n v="275"/>
    <n v="0.55000000000000004"/>
    <n v="1"/>
    <x v="0"/>
  </r>
  <r>
    <n v="1309"/>
    <d v="2022-09-30T00:00:00"/>
    <d v="1899-12-30T16:50:00"/>
    <n v="93"/>
    <x v="1"/>
    <x v="6"/>
    <x v="1"/>
    <n v="1"/>
    <n v="25"/>
    <n v="9.5"/>
    <n v="25"/>
    <x v="0"/>
    <n v="9"/>
    <x v="9"/>
    <n v="30"/>
    <x v="3"/>
    <n v="3"/>
    <n v="15.5"/>
    <n v="0.62"/>
    <n v="0"/>
    <x v="1"/>
  </r>
  <r>
    <n v="1544"/>
    <d v="2022-12-16T00:00:00"/>
    <d v="1899-12-30T15:58:00"/>
    <n v="70"/>
    <x v="1"/>
    <x v="17"/>
    <x v="2"/>
    <n v="1"/>
    <n v="25"/>
    <n v="11.25"/>
    <n v="25"/>
    <x v="0"/>
    <n v="12"/>
    <x v="2"/>
    <n v="16"/>
    <x v="3"/>
    <n v="4"/>
    <n v="13.75"/>
    <n v="0.55000000000000004"/>
    <n v="0"/>
    <x v="0"/>
  </r>
  <r>
    <n v="1602"/>
    <d v="2022-12-01T00:00:00"/>
    <d v="1899-12-30T15:17:00"/>
    <n v="86"/>
    <x v="1"/>
    <x v="36"/>
    <x v="2"/>
    <n v="1"/>
    <n v="300"/>
    <n v="126"/>
    <n v="300"/>
    <x v="0"/>
    <n v="12"/>
    <x v="2"/>
    <n v="1"/>
    <x v="2"/>
    <n v="4"/>
    <n v="174"/>
    <n v="0.57999999999999996"/>
    <n v="1"/>
    <x v="0"/>
  </r>
  <r>
    <n v="1615"/>
    <d v="2022-11-17T00:00:00"/>
    <d v="1899-12-30T13:43:00"/>
    <n v="82"/>
    <x v="1"/>
    <x v="45"/>
    <x v="0"/>
    <n v="4"/>
    <n v="25"/>
    <n v="13.5"/>
    <n v="100"/>
    <x v="0"/>
    <n v="11"/>
    <x v="0"/>
    <n v="17"/>
    <x v="2"/>
    <n v="4"/>
    <n v="86.5"/>
    <n v="0.86499999999999999"/>
    <n v="0"/>
    <x v="0"/>
  </r>
  <r>
    <n v="1678"/>
    <d v="2022-09-16T00:00:00"/>
    <d v="1899-12-30T13:44:00"/>
    <n v="99"/>
    <x v="1"/>
    <x v="13"/>
    <x v="2"/>
    <n v="3"/>
    <n v="300"/>
    <n v="102"/>
    <n v="900"/>
    <x v="0"/>
    <n v="9"/>
    <x v="9"/>
    <n v="16"/>
    <x v="3"/>
    <n v="3"/>
    <n v="798"/>
    <n v="0.88666666699999996"/>
    <n v="1"/>
    <x v="1"/>
  </r>
  <r>
    <n v="1781"/>
    <d v="2022-10-13T00:00:00"/>
    <d v="1899-12-30T12:22:00"/>
    <n v="55"/>
    <x v="0"/>
    <x v="39"/>
    <x v="1"/>
    <n v="1"/>
    <n v="500"/>
    <n v="225"/>
    <n v="500"/>
    <x v="0"/>
    <n v="10"/>
    <x v="5"/>
    <n v="13"/>
    <x v="2"/>
    <n v="4"/>
    <n v="275"/>
    <n v="0.55000000000000004"/>
    <n v="1"/>
    <x v="0"/>
  </r>
  <r>
    <n v="34"/>
    <d v="2023-09-24T00:00:00"/>
    <d v="1899-12-30T13:26:00"/>
    <n v="87"/>
    <x v="1"/>
    <x v="12"/>
    <x v="0"/>
    <n v="3"/>
    <n v="50"/>
    <n v="17"/>
    <n v="150"/>
    <x v="1"/>
    <n v="9"/>
    <x v="9"/>
    <n v="24"/>
    <x v="5"/>
    <n v="3"/>
    <n v="133"/>
    <n v="0.88666666699999996"/>
    <n v="1"/>
    <x v="1"/>
  </r>
  <r>
    <n v="916"/>
    <d v="2023-12-05T00:00:00"/>
    <d v="1899-12-30T12:56:00"/>
    <n v="68"/>
    <x v="1"/>
    <x v="37"/>
    <x v="2"/>
    <n v="1"/>
    <n v="50"/>
    <n v="26"/>
    <n v="50"/>
    <x v="1"/>
    <n v="12"/>
    <x v="2"/>
    <n v="5"/>
    <x v="6"/>
    <n v="4"/>
    <n v="24"/>
    <n v="0.48"/>
    <n v="0"/>
    <x v="0"/>
  </r>
  <r>
    <n v="1034"/>
    <d v="2022-11-13T00:00:00"/>
    <d v="1899-12-30T14:48:00"/>
    <n v="52"/>
    <x v="1"/>
    <x v="12"/>
    <x v="0"/>
    <n v="3"/>
    <n v="50"/>
    <n v="24.5"/>
    <n v="150"/>
    <x v="0"/>
    <n v="11"/>
    <x v="0"/>
    <n v="13"/>
    <x v="5"/>
    <n v="4"/>
    <n v="125.5"/>
    <n v="0.83666666700000003"/>
    <n v="1"/>
    <x v="0"/>
  </r>
  <r>
    <n v="1916"/>
    <d v="2022-11-08T00:00:00"/>
    <d v="1899-12-30T12:40:00"/>
    <n v="102"/>
    <x v="1"/>
    <x v="37"/>
    <x v="2"/>
    <n v="1"/>
    <n v="50"/>
    <n v="16.5"/>
    <n v="50"/>
    <x v="0"/>
    <n v="11"/>
    <x v="0"/>
    <n v="8"/>
    <x v="6"/>
    <n v="4"/>
    <n v="33.5"/>
    <n v="0.67"/>
    <n v="0"/>
    <x v="0"/>
  </r>
  <r>
    <n v="757"/>
    <d v="2023-10-06T00:00:00"/>
    <d v="1899-12-30T12:10:00"/>
    <n v="82"/>
    <x v="1"/>
    <x v="22"/>
    <x v="2"/>
    <n v="4"/>
    <n v="300"/>
    <n v="105"/>
    <n v="1200"/>
    <x v="1"/>
    <n v="10"/>
    <x v="5"/>
    <n v="6"/>
    <x v="3"/>
    <n v="4"/>
    <n v="1095"/>
    <n v="0.91249999999999998"/>
    <n v="1"/>
    <x v="0"/>
  </r>
  <r>
    <n v="1757"/>
    <d v="2023-09-29T00:00:00"/>
    <d v="1899-12-30T16:42:00"/>
    <n v="50"/>
    <x v="1"/>
    <x v="22"/>
    <x v="2"/>
    <n v="4"/>
    <n v="300"/>
    <n v="132"/>
    <n v="1200"/>
    <x v="1"/>
    <n v="9"/>
    <x v="9"/>
    <n v="29"/>
    <x v="3"/>
    <n v="3"/>
    <n v="1068"/>
    <n v="0.89"/>
    <n v="1"/>
    <x v="1"/>
  </r>
  <r>
    <n v="25"/>
    <d v="2022-11-20T00:00:00"/>
    <d v="1899-12-30T14:32:00"/>
    <n v="61"/>
    <x v="1"/>
    <x v="3"/>
    <x v="1"/>
    <n v="1"/>
    <n v="50"/>
    <n v="19"/>
    <n v="50"/>
    <x v="0"/>
    <n v="11"/>
    <x v="0"/>
    <n v="20"/>
    <x v="5"/>
    <n v="4"/>
    <n v="31"/>
    <n v="0.62"/>
    <n v="0"/>
    <x v="0"/>
  </r>
  <r>
    <n v="82"/>
    <d v="2022-09-08T00:00:00"/>
    <d v="1899-12-30T12:55:00"/>
    <n v="85"/>
    <x v="1"/>
    <x v="37"/>
    <x v="1"/>
    <n v="4"/>
    <n v="50"/>
    <n v="15"/>
    <n v="200"/>
    <x v="0"/>
    <n v="9"/>
    <x v="9"/>
    <n v="8"/>
    <x v="2"/>
    <n v="3"/>
    <n v="185"/>
    <n v="0.92500000000000004"/>
    <n v="1"/>
    <x v="1"/>
  </r>
  <r>
    <n v="472"/>
    <d v="2023-10-30T00:00:00"/>
    <d v="1899-12-30T15:23:00"/>
    <n v="95"/>
    <x v="1"/>
    <x v="9"/>
    <x v="1"/>
    <n v="3"/>
    <n v="300"/>
    <n v="162"/>
    <n v="900"/>
    <x v="1"/>
    <n v="10"/>
    <x v="5"/>
    <n v="30"/>
    <x v="1"/>
    <n v="4"/>
    <n v="738"/>
    <n v="0.82"/>
    <n v="1"/>
    <x v="0"/>
  </r>
  <r>
    <n v="842"/>
    <d v="2022-11-28T00:00:00"/>
    <d v="1899-12-30T14:13:00"/>
    <n v="71"/>
    <x v="1"/>
    <x v="35"/>
    <x v="0"/>
    <n v="2"/>
    <n v="300"/>
    <n v="105"/>
    <n v="600"/>
    <x v="0"/>
    <n v="11"/>
    <x v="0"/>
    <n v="28"/>
    <x v="1"/>
    <n v="4"/>
    <n v="495"/>
    <n v="0.82499999999999996"/>
    <n v="1"/>
    <x v="0"/>
  </r>
  <r>
    <n v="879"/>
    <d v="2022-11-13T00:00:00"/>
    <d v="1899-12-30T16:51:00"/>
    <n v="50"/>
    <x v="0"/>
    <x v="8"/>
    <x v="0"/>
    <n v="1"/>
    <n v="30"/>
    <n v="15.3"/>
    <n v="30"/>
    <x v="0"/>
    <n v="11"/>
    <x v="0"/>
    <n v="13"/>
    <x v="5"/>
    <n v="4"/>
    <n v="14.7"/>
    <n v="0.49"/>
    <n v="0"/>
    <x v="0"/>
  </r>
  <r>
    <n v="991"/>
    <d v="2023-09-14T00:00:00"/>
    <d v="1899-12-30T14:28:00"/>
    <n v="110"/>
    <x v="1"/>
    <x v="23"/>
    <x v="0"/>
    <n v="2"/>
    <n v="50"/>
    <n v="19.5"/>
    <n v="100"/>
    <x v="1"/>
    <n v="9"/>
    <x v="9"/>
    <n v="14"/>
    <x v="2"/>
    <n v="3"/>
    <n v="80.5"/>
    <n v="0.80500000000000005"/>
    <n v="0"/>
    <x v="1"/>
  </r>
  <r>
    <n v="1025"/>
    <d v="2022-11-12T00:00:00"/>
    <d v="1899-12-30T16:41:00"/>
    <n v="103"/>
    <x v="1"/>
    <x v="3"/>
    <x v="1"/>
    <n v="1"/>
    <n v="50"/>
    <n v="16.5"/>
    <n v="50"/>
    <x v="0"/>
    <n v="11"/>
    <x v="0"/>
    <n v="12"/>
    <x v="0"/>
    <n v="4"/>
    <n v="33.5"/>
    <n v="0.67"/>
    <n v="0"/>
    <x v="0"/>
  </r>
  <r>
    <n v="1082"/>
    <d v="2022-10-22T00:00:00"/>
    <d v="1899-12-30T15:56:00"/>
    <n v="111"/>
    <x v="1"/>
    <x v="37"/>
    <x v="1"/>
    <n v="4"/>
    <n v="50"/>
    <n v="27.5"/>
    <n v="200"/>
    <x v="0"/>
    <n v="10"/>
    <x v="5"/>
    <n v="22"/>
    <x v="0"/>
    <n v="4"/>
    <n v="172.5"/>
    <n v="0.86250000000000004"/>
    <n v="1"/>
    <x v="0"/>
  </r>
  <r>
    <n v="1472"/>
    <d v="2023-12-18T00:00:00"/>
    <d v="1899-12-30T15:22:00"/>
    <n v="74"/>
    <x v="1"/>
    <x v="9"/>
    <x v="1"/>
    <n v="3"/>
    <n v="300"/>
    <n v="150"/>
    <n v="900"/>
    <x v="1"/>
    <n v="12"/>
    <x v="2"/>
    <n v="18"/>
    <x v="1"/>
    <n v="4"/>
    <n v="750"/>
    <n v="0.83333333300000001"/>
    <n v="1"/>
    <x v="0"/>
  </r>
  <r>
    <n v="1842"/>
    <d v="2022-10-04T00:00:00"/>
    <d v="1899-12-30T14:03:00"/>
    <n v="84"/>
    <x v="1"/>
    <x v="35"/>
    <x v="0"/>
    <n v="2"/>
    <n v="300"/>
    <n v="75"/>
    <n v="600"/>
    <x v="0"/>
    <n v="10"/>
    <x v="5"/>
    <n v="4"/>
    <x v="6"/>
    <n v="4"/>
    <n v="525"/>
    <n v="0.875"/>
    <n v="1"/>
    <x v="0"/>
  </r>
  <r>
    <n v="1879"/>
    <d v="2022-11-18T00:00:00"/>
    <d v="1899-12-30T15:27:00"/>
    <n v="66"/>
    <x v="0"/>
    <x v="8"/>
    <x v="0"/>
    <n v="1"/>
    <n v="30"/>
    <n v="16.2"/>
    <n v="30"/>
    <x v="0"/>
    <n v="11"/>
    <x v="0"/>
    <n v="18"/>
    <x v="3"/>
    <n v="4"/>
    <n v="13.8"/>
    <n v="0.46"/>
    <n v="0"/>
    <x v="0"/>
  </r>
  <r>
    <n v="1991"/>
    <d v="2022-12-04T00:00:00"/>
    <d v="1899-12-30T13:11:00"/>
    <n v="96"/>
    <x v="1"/>
    <x v="23"/>
    <x v="0"/>
    <n v="2"/>
    <n v="50"/>
    <n v="14.5"/>
    <n v="100"/>
    <x v="0"/>
    <n v="12"/>
    <x v="2"/>
    <n v="4"/>
    <x v="5"/>
    <n v="4"/>
    <n v="85.5"/>
    <n v="0.85499999999999998"/>
    <n v="0"/>
    <x v="0"/>
  </r>
  <r>
    <n v="62"/>
    <d v="2023-09-16T00:00:00"/>
    <d v="1899-12-30T12:54:00"/>
    <n v="50"/>
    <x v="0"/>
    <x v="18"/>
    <x v="1"/>
    <n v="2"/>
    <n v="50"/>
    <n v="26.5"/>
    <n v="100"/>
    <x v="1"/>
    <n v="9"/>
    <x v="9"/>
    <n v="16"/>
    <x v="0"/>
    <n v="3"/>
    <n v="73.5"/>
    <n v="0.73499999999999999"/>
    <n v="0"/>
    <x v="1"/>
  </r>
  <r>
    <n v="386"/>
    <d v="2022-10-23T00:00:00"/>
    <d v="1899-12-30T13:20:00"/>
    <n v="77"/>
    <x v="1"/>
    <x v="29"/>
    <x v="2"/>
    <n v="2"/>
    <n v="300"/>
    <n v="153"/>
    <n v="600"/>
    <x v="0"/>
    <n v="10"/>
    <x v="5"/>
    <n v="23"/>
    <x v="5"/>
    <n v="4"/>
    <n v="447"/>
    <n v="0.745"/>
    <n v="1"/>
    <x v="0"/>
  </r>
  <r>
    <n v="1062"/>
    <d v="2022-12-20T00:00:00"/>
    <d v="1899-12-30T16:05:00"/>
    <n v="69"/>
    <x v="0"/>
    <x v="18"/>
    <x v="1"/>
    <n v="2"/>
    <n v="50"/>
    <n v="21.5"/>
    <n v="100"/>
    <x v="0"/>
    <n v="12"/>
    <x v="2"/>
    <n v="20"/>
    <x v="6"/>
    <n v="4"/>
    <n v="78.5"/>
    <n v="0.78500000000000003"/>
    <n v="0"/>
    <x v="0"/>
  </r>
  <r>
    <n v="1386"/>
    <d v="2023-12-19T00:00:00"/>
    <d v="1899-12-30T14:06:00"/>
    <n v="110"/>
    <x v="1"/>
    <x v="29"/>
    <x v="2"/>
    <n v="2"/>
    <n v="300"/>
    <n v="81"/>
    <n v="600"/>
    <x v="1"/>
    <n v="12"/>
    <x v="2"/>
    <n v="19"/>
    <x v="6"/>
    <n v="4"/>
    <n v="519"/>
    <n v="0.86499999999999999"/>
    <n v="1"/>
    <x v="0"/>
  </r>
  <r>
    <n v="429"/>
    <d v="2023-09-08T00:00:00"/>
    <d v="1899-12-30T14:29:00"/>
    <n v="80"/>
    <x v="0"/>
    <x v="3"/>
    <x v="2"/>
    <n v="2"/>
    <n v="25"/>
    <n v="6.75"/>
    <n v="50"/>
    <x v="1"/>
    <n v="9"/>
    <x v="9"/>
    <n v="8"/>
    <x v="3"/>
    <n v="3"/>
    <n v="43.25"/>
    <n v="0.86499999999999999"/>
    <n v="0"/>
    <x v="1"/>
  </r>
  <r>
    <n v="664"/>
    <d v="2022-09-03T00:00:00"/>
    <d v="1899-12-30T16:52:00"/>
    <n v="109"/>
    <x v="1"/>
    <x v="47"/>
    <x v="0"/>
    <n v="4"/>
    <n v="500"/>
    <n v="170"/>
    <n v="2000"/>
    <x v="0"/>
    <n v="9"/>
    <x v="9"/>
    <n v="3"/>
    <x v="0"/>
    <n v="3"/>
    <n v="1830"/>
    <n v="0.91500000000000004"/>
    <n v="1"/>
    <x v="1"/>
  </r>
  <r>
    <n v="989"/>
    <d v="2022-10-31T00:00:00"/>
    <d v="1899-12-30T13:30:00"/>
    <n v="97"/>
    <x v="1"/>
    <x v="47"/>
    <x v="2"/>
    <n v="1"/>
    <n v="25"/>
    <n v="8.25"/>
    <n v="25"/>
    <x v="0"/>
    <n v="10"/>
    <x v="5"/>
    <n v="31"/>
    <x v="1"/>
    <n v="4"/>
    <n v="16.75"/>
    <n v="0.67"/>
    <n v="0"/>
    <x v="0"/>
  </r>
  <r>
    <n v="1429"/>
    <d v="2023-11-22T00:00:00"/>
    <d v="1899-12-30T13:14:00"/>
    <n v="102"/>
    <x v="0"/>
    <x v="3"/>
    <x v="2"/>
    <n v="2"/>
    <n v="25"/>
    <n v="12"/>
    <n v="50"/>
    <x v="1"/>
    <n v="11"/>
    <x v="0"/>
    <n v="22"/>
    <x v="4"/>
    <n v="4"/>
    <n v="38"/>
    <n v="0.76"/>
    <n v="0"/>
    <x v="0"/>
  </r>
  <r>
    <n v="1664"/>
    <d v="2023-12-12T00:00:00"/>
    <d v="1899-12-30T16:44:00"/>
    <n v="99"/>
    <x v="1"/>
    <x v="47"/>
    <x v="0"/>
    <n v="4"/>
    <n v="500"/>
    <n v="245"/>
    <n v="2000"/>
    <x v="1"/>
    <n v="12"/>
    <x v="2"/>
    <n v="12"/>
    <x v="6"/>
    <n v="4"/>
    <n v="1755"/>
    <n v="0.87749999999999995"/>
    <n v="1"/>
    <x v="0"/>
  </r>
  <r>
    <n v="1989"/>
    <d v="2022-09-06T00:00:00"/>
    <d v="1899-12-30T16:21:00"/>
    <n v="109"/>
    <x v="1"/>
    <x v="47"/>
    <x v="2"/>
    <n v="1"/>
    <n v="25"/>
    <n v="13.25"/>
    <n v="25"/>
    <x v="0"/>
    <n v="9"/>
    <x v="9"/>
    <n v="6"/>
    <x v="6"/>
    <n v="3"/>
    <n v="11.75"/>
    <n v="0.47"/>
    <n v="0"/>
    <x v="1"/>
  </r>
  <r>
    <n v="233"/>
    <d v="2022-09-03T00:00:00"/>
    <d v="1899-12-30T13:09:00"/>
    <n v="81"/>
    <x v="1"/>
    <x v="12"/>
    <x v="1"/>
    <n v="2"/>
    <n v="300"/>
    <n v="132"/>
    <n v="600"/>
    <x v="0"/>
    <n v="9"/>
    <x v="9"/>
    <n v="3"/>
    <x v="0"/>
    <n v="3"/>
    <n v="468"/>
    <n v="0.78"/>
    <n v="1"/>
    <x v="1"/>
  </r>
  <r>
    <n v="520"/>
    <d v="2022-10-16T00:00:00"/>
    <d v="1899-12-30T12:42:00"/>
    <n v="79"/>
    <x v="1"/>
    <x v="28"/>
    <x v="2"/>
    <n v="4"/>
    <n v="25"/>
    <n v="13"/>
    <n v="100"/>
    <x v="0"/>
    <n v="10"/>
    <x v="5"/>
    <n v="16"/>
    <x v="5"/>
    <n v="4"/>
    <n v="87"/>
    <n v="0.87"/>
    <n v="0"/>
    <x v="0"/>
  </r>
  <r>
    <n v="805"/>
    <d v="2022-09-03T00:00:00"/>
    <d v="1899-12-30T13:55:00"/>
    <n v="59"/>
    <x v="1"/>
    <x v="7"/>
    <x v="1"/>
    <n v="3"/>
    <n v="500"/>
    <n v="155"/>
    <n v="1500"/>
    <x v="0"/>
    <n v="9"/>
    <x v="9"/>
    <n v="3"/>
    <x v="0"/>
    <n v="3"/>
    <n v="1345"/>
    <n v="0.89666666699999997"/>
    <n v="1"/>
    <x v="1"/>
  </r>
  <r>
    <n v="908"/>
    <d v="2022-10-30T00:00:00"/>
    <d v="1899-12-30T14:47:00"/>
    <n v="64"/>
    <x v="0"/>
    <x v="1"/>
    <x v="1"/>
    <n v="4"/>
    <n v="300"/>
    <n v="81"/>
    <n v="1200"/>
    <x v="0"/>
    <n v="10"/>
    <x v="5"/>
    <n v="30"/>
    <x v="5"/>
    <n v="4"/>
    <n v="1119"/>
    <n v="0.9325"/>
    <n v="1"/>
    <x v="0"/>
  </r>
  <r>
    <n v="1233"/>
    <d v="2023-10-01T00:00:00"/>
    <d v="1899-12-30T16:20:00"/>
    <n v="79"/>
    <x v="1"/>
    <x v="12"/>
    <x v="1"/>
    <n v="2"/>
    <n v="300"/>
    <n v="117"/>
    <n v="600"/>
    <x v="1"/>
    <n v="10"/>
    <x v="5"/>
    <n v="1"/>
    <x v="5"/>
    <n v="4"/>
    <n v="483"/>
    <n v="0.80500000000000005"/>
    <n v="1"/>
    <x v="0"/>
  </r>
  <r>
    <n v="1520"/>
    <d v="2022-11-21T00:00:00"/>
    <d v="1899-12-30T15:28:00"/>
    <n v="88"/>
    <x v="1"/>
    <x v="28"/>
    <x v="2"/>
    <n v="4"/>
    <n v="25"/>
    <n v="10.5"/>
    <n v="100"/>
    <x v="0"/>
    <n v="11"/>
    <x v="0"/>
    <n v="21"/>
    <x v="1"/>
    <n v="4"/>
    <n v="89.5"/>
    <n v="0.89500000000000002"/>
    <n v="0"/>
    <x v="0"/>
  </r>
  <r>
    <n v="1805"/>
    <d v="2023-10-10T00:00:00"/>
    <d v="1899-12-30T13:35:00"/>
    <n v="79"/>
    <x v="1"/>
    <x v="7"/>
    <x v="1"/>
    <n v="3"/>
    <n v="500"/>
    <n v="225"/>
    <n v="1500"/>
    <x v="1"/>
    <n v="10"/>
    <x v="5"/>
    <n v="10"/>
    <x v="6"/>
    <n v="4"/>
    <n v="1275"/>
    <n v="0.85"/>
    <n v="1"/>
    <x v="0"/>
  </r>
  <r>
    <n v="1908"/>
    <d v="2023-12-17T00:00:00"/>
    <d v="1899-12-30T12:34:00"/>
    <n v="93"/>
    <x v="0"/>
    <x v="1"/>
    <x v="1"/>
    <n v="4"/>
    <n v="300"/>
    <n v="87"/>
    <n v="1200"/>
    <x v="1"/>
    <n v="12"/>
    <x v="2"/>
    <n v="17"/>
    <x v="5"/>
    <n v="4"/>
    <n v="1113"/>
    <n v="0.92749999999999999"/>
    <n v="1"/>
    <x v="0"/>
  </r>
  <r>
    <n v="857"/>
    <d v="2023-11-20T00:00:00"/>
    <d v="1899-12-30T12:09:00"/>
    <n v="62"/>
    <x v="0"/>
    <x v="13"/>
    <x v="2"/>
    <n v="2"/>
    <n v="25"/>
    <n v="12"/>
    <n v="50"/>
    <x v="1"/>
    <n v="11"/>
    <x v="0"/>
    <n v="20"/>
    <x v="1"/>
    <n v="4"/>
    <n v="38"/>
    <n v="0.76"/>
    <n v="0"/>
    <x v="0"/>
  </r>
  <r>
    <n v="1857"/>
    <d v="2022-11-09T00:00:00"/>
    <d v="1899-12-30T12:15:00"/>
    <n v="109"/>
    <x v="0"/>
    <x v="13"/>
    <x v="2"/>
    <n v="2"/>
    <n v="25"/>
    <n v="7.5"/>
    <n v="50"/>
    <x v="0"/>
    <n v="11"/>
    <x v="0"/>
    <n v="9"/>
    <x v="4"/>
    <n v="4"/>
    <n v="42.5"/>
    <n v="0.85"/>
    <n v="0"/>
    <x v="0"/>
  </r>
  <r>
    <n v="211"/>
    <d v="2022-09-12T00:00:00"/>
    <d v="1899-12-30T14:02:00"/>
    <n v="54"/>
    <x v="0"/>
    <x v="25"/>
    <x v="1"/>
    <n v="3"/>
    <n v="500"/>
    <n v="235"/>
    <n v="1500"/>
    <x v="0"/>
    <n v="9"/>
    <x v="9"/>
    <n v="12"/>
    <x v="1"/>
    <n v="3"/>
    <n v="1265"/>
    <n v="0.84333333300000002"/>
    <n v="1"/>
    <x v="1"/>
  </r>
  <r>
    <n v="650"/>
    <d v="2023-10-08T00:00:00"/>
    <d v="1899-12-30T12:41:00"/>
    <n v="98"/>
    <x v="0"/>
    <x v="46"/>
    <x v="2"/>
    <n v="1"/>
    <n v="30"/>
    <n v="15"/>
    <n v="30"/>
    <x v="1"/>
    <n v="10"/>
    <x v="5"/>
    <n v="8"/>
    <x v="5"/>
    <n v="4"/>
    <n v="15"/>
    <n v="0.5"/>
    <n v="0"/>
    <x v="0"/>
  </r>
  <r>
    <n v="1211"/>
    <d v="2023-11-22T00:00:00"/>
    <d v="1899-12-30T14:59:00"/>
    <n v="82"/>
    <x v="0"/>
    <x v="25"/>
    <x v="1"/>
    <n v="3"/>
    <n v="500"/>
    <n v="235"/>
    <n v="1500"/>
    <x v="1"/>
    <n v="11"/>
    <x v="0"/>
    <n v="22"/>
    <x v="4"/>
    <n v="4"/>
    <n v="1265"/>
    <n v="0.84333333300000002"/>
    <n v="1"/>
    <x v="0"/>
  </r>
  <r>
    <n v="1650"/>
    <d v="2022-09-23T00:00:00"/>
    <d v="1899-12-30T16:24:00"/>
    <n v="89"/>
    <x v="0"/>
    <x v="46"/>
    <x v="2"/>
    <n v="1"/>
    <n v="30"/>
    <n v="10.8"/>
    <n v="30"/>
    <x v="0"/>
    <n v="9"/>
    <x v="9"/>
    <n v="23"/>
    <x v="3"/>
    <n v="3"/>
    <n v="19.2"/>
    <n v="0.64"/>
    <n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494E73-2AAF-48A5-B053-A45D7CD2035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0">
    <pivotField showAll="0"/>
    <pivotField numFmtId="14" showAll="0"/>
    <pivotField numFmtId="21" showAll="0"/>
    <pivotField showAll="0"/>
    <pivotField showAll="0">
      <items count="3">
        <item x="1"/>
        <item x="0"/>
        <item t="default"/>
      </items>
    </pivotField>
    <pivotField showAll="0"/>
    <pivotField showAll="0">
      <items count="4">
        <item x="1"/>
        <item x="0"/>
        <item x="2"/>
        <item t="default"/>
      </items>
    </pivotField>
    <pivotField showAll="0"/>
    <pivotField showAll="0"/>
    <pivotField showAll="0"/>
    <pivotField showAll="0"/>
    <pivotField showAll="0">
      <items count="3">
        <item x="0"/>
        <item x="1"/>
        <item t="default"/>
      </items>
    </pivotField>
    <pivotField showAll="0"/>
    <pivotField showAll="0">
      <items count="13">
        <item x="3"/>
        <item x="10"/>
        <item x="8"/>
        <item x="6"/>
        <item x="7"/>
        <item x="11"/>
        <item x="1"/>
        <item x="4"/>
        <item x="9"/>
        <item x="5"/>
        <item x="0"/>
        <item x="2"/>
        <item t="default"/>
      </items>
    </pivotField>
    <pivotField showAll="0"/>
    <pivotField showAll="0"/>
    <pivotField showAll="0">
      <items count="5">
        <item x="2"/>
        <item x="3"/>
        <item x="1"/>
        <item x="0"/>
        <item t="default"/>
      </items>
    </pivotField>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F4E5F9-AF32-4590-A63E-F1050645530E}"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7:C32" firstHeaderRow="0" firstDataRow="1" firstDataCol="1"/>
  <pivotFields count="21">
    <pivotField showAll="0"/>
    <pivotField numFmtId="14" showAll="0"/>
    <pivotField numFmtId="21" showAll="0"/>
    <pivotField showAll="0"/>
    <pivotField showAll="0">
      <items count="3">
        <item x="1"/>
        <item x="0"/>
        <item t="default"/>
      </items>
    </pivotField>
    <pivotField showAll="0"/>
    <pivotField showAll="0">
      <items count="4">
        <item x="1"/>
        <item x="0"/>
        <item x="2"/>
        <item t="default"/>
      </items>
    </pivotField>
    <pivotField showAll="0"/>
    <pivotField showAll="0"/>
    <pivotField showAll="0"/>
    <pivotField dataField="1" showAll="0"/>
    <pivotField showAll="0">
      <items count="3">
        <item x="0"/>
        <item x="1"/>
        <item t="default"/>
      </items>
    </pivotField>
    <pivotField showAll="0"/>
    <pivotField showAll="0">
      <items count="13">
        <item x="3"/>
        <item x="10"/>
        <item x="8"/>
        <item x="6"/>
        <item x="7"/>
        <item x="11"/>
        <item x="1"/>
        <item x="4"/>
        <item x="9"/>
        <item x="5"/>
        <item x="0"/>
        <item x="2"/>
        <item t="default"/>
      </items>
    </pivotField>
    <pivotField showAll="0"/>
    <pivotField showAll="0"/>
    <pivotField numFmtId="166" showAll="0"/>
    <pivotField dataField="1" showAll="0"/>
    <pivotField showAll="0"/>
    <pivotField showAll="0"/>
    <pivotField axis="axisRow" numFmtId="166" showAll="0">
      <items count="5">
        <item x="2"/>
        <item x="3"/>
        <item x="1"/>
        <item x="0"/>
        <item t="default"/>
      </items>
    </pivotField>
  </pivotFields>
  <rowFields count="1">
    <field x="20"/>
  </rowFields>
  <rowItems count="5">
    <i>
      <x/>
    </i>
    <i>
      <x v="1"/>
    </i>
    <i>
      <x v="2"/>
    </i>
    <i>
      <x v="3"/>
    </i>
    <i t="grand">
      <x/>
    </i>
  </rowItems>
  <colFields count="1">
    <field x="-2"/>
  </colFields>
  <colItems count="2">
    <i>
      <x/>
    </i>
    <i i="1">
      <x v="1"/>
    </i>
  </colItems>
  <dataFields count="2">
    <dataField name="Sum of total_sale" fld="10" baseField="0" baseItem="0"/>
    <dataField name="Sum of profit" fld="17"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4D486C-96BB-4B31-AE81-D1E882EE0BF3}"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C7" firstHeaderRow="0" firstDataRow="1" firstDataCol="1"/>
  <pivotFields count="21">
    <pivotField showAll="0"/>
    <pivotField numFmtId="14" showAll="0"/>
    <pivotField numFmtId="21" showAll="0"/>
    <pivotField showAll="0"/>
    <pivotField showAll="0">
      <items count="3">
        <item x="1"/>
        <item x="0"/>
        <item t="default"/>
      </items>
    </pivotField>
    <pivotField showAll="0"/>
    <pivotField axis="axisRow" showAll="0">
      <items count="4">
        <item x="1"/>
        <item x="0"/>
        <item x="2"/>
        <item t="default"/>
      </items>
    </pivotField>
    <pivotField showAll="0"/>
    <pivotField showAll="0"/>
    <pivotField showAll="0"/>
    <pivotField dataField="1" showAll="0"/>
    <pivotField showAll="0">
      <items count="3">
        <item x="0"/>
        <item x="1"/>
        <item t="default"/>
      </items>
    </pivotField>
    <pivotField showAll="0"/>
    <pivotField showAll="0">
      <items count="13">
        <item x="3"/>
        <item x="10"/>
        <item x="8"/>
        <item x="6"/>
        <item x="7"/>
        <item x="11"/>
        <item x="1"/>
        <item x="4"/>
        <item x="9"/>
        <item x="5"/>
        <item x="0"/>
        <item x="2"/>
        <item t="default"/>
      </items>
    </pivotField>
    <pivotField showAll="0"/>
    <pivotField showAll="0"/>
    <pivotField showAll="0"/>
    <pivotField dataField="1" showAll="0"/>
    <pivotField showAll="0"/>
    <pivotField showAll="0"/>
    <pivotField numFmtId="166" showAll="0">
      <items count="5">
        <item x="2"/>
        <item x="3"/>
        <item x="1"/>
        <item x="0"/>
        <item t="default"/>
      </items>
    </pivotField>
  </pivotFields>
  <rowFields count="1">
    <field x="6"/>
  </rowFields>
  <rowItems count="4">
    <i>
      <x/>
    </i>
    <i>
      <x v="1"/>
    </i>
    <i>
      <x v="2"/>
    </i>
    <i t="grand">
      <x/>
    </i>
  </rowItems>
  <colFields count="1">
    <field x="-2"/>
  </colFields>
  <colItems count="2">
    <i>
      <x/>
    </i>
    <i i="1">
      <x v="1"/>
    </i>
  </colItems>
  <dataFields count="2">
    <dataField name="Total Revenue" fld="10" baseField="6" baseItem="0"/>
    <dataField name="Sum of profit" fld="17" baseField="0" baseItem="0"/>
  </dataFields>
  <formats count="2">
    <format dxfId="6">
      <pivotArea collapsedLevelsAreSubtotals="1" fieldPosition="0">
        <references count="2">
          <reference field="4294967294" count="1" selected="0">
            <x v="0"/>
          </reference>
          <reference field="6" count="0"/>
        </references>
      </pivotArea>
    </format>
    <format dxfId="5">
      <pivotArea collapsedLevelsAreSubtotals="1" fieldPosition="0">
        <references count="2">
          <reference field="4294967294" count="1" selected="0">
            <x v="1"/>
          </reference>
          <reference field="6" count="0"/>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6" count="1" selected="0">
            <x v="2"/>
          </reference>
        </references>
      </pivotArea>
    </chartFormat>
    <chartFormat chart="11" format="11" series="1">
      <pivotArea type="data" outline="0" fieldPosition="0">
        <references count="1">
          <reference field="4294967294" count="1" selected="0">
            <x v="0"/>
          </reference>
        </references>
      </pivotArea>
    </chartFormat>
    <chartFormat chart="11" format="12" series="1">
      <pivotArea type="data" outline="0" fieldPosition="0">
        <references count="1">
          <reference field="4294967294" count="1" selected="0">
            <x v="1"/>
          </reference>
        </references>
      </pivotArea>
    </chartFormat>
    <chartFormat chart="11" format="13">
      <pivotArea type="data" outline="0" fieldPosition="0">
        <references count="2">
          <reference field="4294967294" count="1" selected="0">
            <x v="1"/>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880458-A6B6-4B50-A00C-CBB793F79EF7}"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C24:E29" firstHeaderRow="0" firstDataRow="1" firstDataCol="1"/>
  <pivotFields count="21">
    <pivotField showAll="0"/>
    <pivotField numFmtId="14" showAll="0"/>
    <pivotField numFmtId="21" showAll="0"/>
    <pivotField showAll="0"/>
    <pivotField showAll="0">
      <items count="3">
        <item x="1"/>
        <item x="0"/>
        <item t="default"/>
      </items>
    </pivotField>
    <pivotField showAll="0"/>
    <pivotField showAll="0">
      <items count="4">
        <item x="1"/>
        <item x="0"/>
        <item x="2"/>
        <item t="default"/>
      </items>
    </pivotField>
    <pivotField showAll="0"/>
    <pivotField showAll="0"/>
    <pivotField showAll="0"/>
    <pivotField dataField="1" showAll="0"/>
    <pivotField showAll="0">
      <items count="3">
        <item x="0"/>
        <item x="1"/>
        <item t="default"/>
      </items>
    </pivotField>
    <pivotField showAll="0"/>
    <pivotField showAll="0">
      <items count="13">
        <item x="3"/>
        <item x="10"/>
        <item x="8"/>
        <item x="6"/>
        <item x="7"/>
        <item x="11"/>
        <item x="1"/>
        <item x="4"/>
        <item x="9"/>
        <item x="5"/>
        <item x="0"/>
        <item x="2"/>
        <item t="default"/>
      </items>
    </pivotField>
    <pivotField showAll="0"/>
    <pivotField showAll="0"/>
    <pivotField numFmtId="166" showAll="0"/>
    <pivotField dataField="1" showAll="0"/>
    <pivotField showAll="0"/>
    <pivotField showAll="0"/>
    <pivotField axis="axisRow" numFmtId="166" showAll="0">
      <items count="5">
        <item x="2"/>
        <item x="3"/>
        <item x="1"/>
        <item x="0"/>
        <item t="default"/>
      </items>
    </pivotField>
  </pivotFields>
  <rowFields count="1">
    <field x="20"/>
  </rowFields>
  <rowItems count="5">
    <i>
      <x/>
    </i>
    <i>
      <x v="1"/>
    </i>
    <i>
      <x v="2"/>
    </i>
    <i>
      <x v="3"/>
    </i>
    <i t="grand">
      <x/>
    </i>
  </rowItems>
  <colFields count="1">
    <field x="-2"/>
  </colFields>
  <colItems count="2">
    <i>
      <x/>
    </i>
    <i i="1">
      <x v="1"/>
    </i>
  </colItems>
  <dataFields count="2">
    <dataField name="Sum of total_sale" fld="10" baseField="0" baseItem="0"/>
    <dataField name="Sum of profit" fld="17"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604F2C2-29FB-44BF-A61E-50B8EBDF1B3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C16" firstHeaderRow="0" firstDataRow="1" firstDataCol="1"/>
  <pivotFields count="21">
    <pivotField showAll="0"/>
    <pivotField numFmtId="14" showAll="0"/>
    <pivotField numFmtId="21" showAll="0"/>
    <pivotField showAll="0"/>
    <pivotField showAll="0">
      <items count="3">
        <item x="1"/>
        <item x="0"/>
        <item t="default"/>
      </items>
    </pivotField>
    <pivotField showAll="0"/>
    <pivotField showAll="0">
      <items count="4">
        <item x="1"/>
        <item x="0"/>
        <item x="2"/>
        <item t="default"/>
      </items>
    </pivotField>
    <pivotField showAll="0"/>
    <pivotField showAll="0"/>
    <pivotField showAll="0"/>
    <pivotField dataField="1" showAll="0"/>
    <pivotField showAll="0">
      <items count="3">
        <item x="0"/>
        <item x="1"/>
        <item t="default"/>
      </items>
    </pivotField>
    <pivotField showAll="0"/>
    <pivotField axis="axisRow" showAll="0">
      <items count="13">
        <item x="3"/>
        <item x="10"/>
        <item x="8"/>
        <item x="6"/>
        <item x="7"/>
        <item x="11"/>
        <item x="1"/>
        <item x="4"/>
        <item x="9"/>
        <item x="5"/>
        <item x="0"/>
        <item x="2"/>
        <item t="default"/>
      </items>
    </pivotField>
    <pivotField showAll="0"/>
    <pivotField showAll="0"/>
    <pivotField showAll="0"/>
    <pivotField dataField="1" showAll="0"/>
    <pivotField showAll="0"/>
    <pivotField showAll="0"/>
    <pivotField numFmtId="166" showAll="0">
      <items count="5">
        <item x="2"/>
        <item x="3"/>
        <item x="1"/>
        <item x="0"/>
        <item t="default"/>
      </items>
    </pivotField>
  </pivotFields>
  <rowFields count="1">
    <field x="13"/>
  </rowFields>
  <rowItems count="13">
    <i>
      <x/>
    </i>
    <i>
      <x v="1"/>
    </i>
    <i>
      <x v="2"/>
    </i>
    <i>
      <x v="3"/>
    </i>
    <i>
      <x v="4"/>
    </i>
    <i>
      <x v="5"/>
    </i>
    <i>
      <x v="6"/>
    </i>
    <i>
      <x v="7"/>
    </i>
    <i>
      <x v="8"/>
    </i>
    <i>
      <x v="9"/>
    </i>
    <i>
      <x v="10"/>
    </i>
    <i>
      <x v="11"/>
    </i>
    <i t="grand">
      <x/>
    </i>
  </rowItems>
  <colFields count="1">
    <field x="-2"/>
  </colFields>
  <colItems count="2">
    <i>
      <x/>
    </i>
    <i i="1">
      <x v="1"/>
    </i>
  </colItems>
  <dataFields count="2">
    <dataField name="Sum of total_sale" fld="10" baseField="0" baseItem="0"/>
    <dataField name="Sum of profit" fld="17" baseField="0" baseItem="0"/>
  </dataFields>
  <formats count="2">
    <format dxfId="4">
      <pivotArea collapsedLevelsAreSubtotals="1" fieldPosition="0">
        <references count="2">
          <reference field="4294967294" count="1" selected="0">
            <x v="0"/>
          </reference>
          <reference field="13" count="0"/>
        </references>
      </pivotArea>
    </format>
    <format dxfId="3">
      <pivotArea collapsedLevelsAreSubtotals="1" fieldPosition="0">
        <references count="2">
          <reference field="4294967294" count="1" selected="0">
            <x v="1"/>
          </reference>
          <reference field="13" count="0"/>
        </references>
      </pivotArea>
    </format>
  </format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13" count="1" selected="0">
            <x v="7"/>
          </reference>
        </references>
      </pivotArea>
    </chartFormat>
    <chartFormat chart="9" format="5"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DDD9A2D-16D0-4FEC-91D8-AD341C95DD35}"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1:C26" firstHeaderRow="0" firstDataRow="1" firstDataCol="1"/>
  <pivotFields count="21">
    <pivotField showAll="0"/>
    <pivotField numFmtId="14" showAll="0"/>
    <pivotField numFmtId="21" showAll="0"/>
    <pivotField showAll="0"/>
    <pivotField showAll="0">
      <items count="3">
        <item x="1"/>
        <item x="0"/>
        <item t="default"/>
      </items>
    </pivotField>
    <pivotField showAll="0"/>
    <pivotField showAll="0">
      <items count="4">
        <item x="1"/>
        <item x="0"/>
        <item x="2"/>
        <item t="default"/>
      </items>
    </pivotField>
    <pivotField showAll="0"/>
    <pivotField showAll="0"/>
    <pivotField showAll="0"/>
    <pivotField dataField="1" showAll="0"/>
    <pivotField showAll="0">
      <items count="3">
        <item x="0"/>
        <item x="1"/>
        <item t="default"/>
      </items>
    </pivotField>
    <pivotField showAll="0"/>
    <pivotField showAll="0">
      <items count="13">
        <item x="3"/>
        <item x="10"/>
        <item x="8"/>
        <item x="6"/>
        <item x="7"/>
        <item x="11"/>
        <item x="1"/>
        <item x="4"/>
        <item x="9"/>
        <item x="5"/>
        <item x="0"/>
        <item x="2"/>
        <item t="default"/>
      </items>
    </pivotField>
    <pivotField showAll="0"/>
    <pivotField showAll="0"/>
    <pivotField numFmtId="166" showAll="0"/>
    <pivotField dataField="1" showAll="0"/>
    <pivotField showAll="0"/>
    <pivotField showAll="0"/>
    <pivotField axis="axisRow" numFmtId="166" showAll="0">
      <items count="5">
        <item x="2"/>
        <item x="3"/>
        <item x="1"/>
        <item x="0"/>
        <item t="default"/>
      </items>
    </pivotField>
  </pivotFields>
  <rowFields count="1">
    <field x="20"/>
  </rowFields>
  <rowItems count="5">
    <i>
      <x/>
    </i>
    <i>
      <x v="1"/>
    </i>
    <i>
      <x v="2"/>
    </i>
    <i>
      <x v="3"/>
    </i>
    <i t="grand">
      <x/>
    </i>
  </rowItems>
  <colFields count="1">
    <field x="-2"/>
  </colFields>
  <colItems count="2">
    <i>
      <x/>
    </i>
    <i i="1">
      <x v="1"/>
    </i>
  </colItems>
  <dataFields count="2">
    <dataField name="Sum of total_sale" fld="10" baseField="0" baseItem="0"/>
    <dataField name="Sum of profit" fld="17"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0D36004-4518-41B3-8BB1-9C0438D8997F}"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6" firstHeaderRow="1" firstDataRow="1" firstDataCol="1"/>
  <pivotFields count="21">
    <pivotField showAll="0"/>
    <pivotField numFmtId="14" showAll="0"/>
    <pivotField numFmtId="21" showAll="0"/>
    <pivotField showAll="0"/>
    <pivotField axis="axisRow" showAll="0">
      <items count="3">
        <item x="1"/>
        <item x="0"/>
        <item t="default"/>
      </items>
    </pivotField>
    <pivotField showAll="0"/>
    <pivotField showAll="0">
      <items count="4">
        <item x="1"/>
        <item x="0"/>
        <item x="2"/>
        <item t="default"/>
      </items>
    </pivotField>
    <pivotField showAll="0"/>
    <pivotField showAll="0"/>
    <pivotField showAll="0"/>
    <pivotField dataField="1" showAll="0"/>
    <pivotField showAll="0">
      <items count="3">
        <item x="0"/>
        <item x="1"/>
        <item t="default"/>
      </items>
    </pivotField>
    <pivotField showAll="0"/>
    <pivotField showAll="0">
      <items count="13">
        <item x="3"/>
        <item x="10"/>
        <item x="8"/>
        <item x="6"/>
        <item x="7"/>
        <item x="11"/>
        <item x="1"/>
        <item x="4"/>
        <item x="9"/>
        <item x="5"/>
        <item x="0"/>
        <item x="2"/>
        <item t="default"/>
      </items>
    </pivotField>
    <pivotField showAll="0"/>
    <pivotField showAll="0"/>
    <pivotField showAll="0"/>
    <pivotField showAll="0"/>
    <pivotField showAll="0"/>
    <pivotField showAll="0"/>
    <pivotField numFmtId="166" showAll="0">
      <items count="5">
        <item x="2"/>
        <item x="3"/>
        <item x="1"/>
        <item x="0"/>
        <item t="default"/>
      </items>
    </pivotField>
  </pivotFields>
  <rowFields count="1">
    <field x="4"/>
  </rowFields>
  <rowItems count="3">
    <i>
      <x/>
    </i>
    <i>
      <x v="1"/>
    </i>
    <i t="grand">
      <x/>
    </i>
  </rowItems>
  <colItems count="1">
    <i/>
  </colItems>
  <dataFields count="1">
    <dataField name="Sum of total_sale" fld="10" baseField="0" baseItem="0"/>
  </dataFields>
  <formats count="1">
    <format dxfId="2">
      <pivotArea collapsedLevelsAreSubtotals="1" fieldPosition="0">
        <references count="1">
          <reference field="4" count="0"/>
        </references>
      </pivotArea>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4" count="1" selected="0">
            <x v="0"/>
          </reference>
        </references>
      </pivotArea>
    </chartFormat>
    <chartFormat chart="6" format="8">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193EAE4-DD2A-456A-AFE9-CFF362566B4A}"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O7:Q12" firstHeaderRow="0" firstDataRow="1" firstDataCol="1"/>
  <pivotFields count="21">
    <pivotField showAll="0"/>
    <pivotField numFmtId="14" showAll="0"/>
    <pivotField numFmtId="21" showAll="0"/>
    <pivotField showAll="0"/>
    <pivotField showAll="0">
      <items count="3">
        <item x="1"/>
        <item x="0"/>
        <item t="default"/>
      </items>
    </pivotField>
    <pivotField showAll="0"/>
    <pivotField showAll="0">
      <items count="4">
        <item x="1"/>
        <item x="0"/>
        <item x="2"/>
        <item t="default"/>
      </items>
    </pivotField>
    <pivotField showAll="0"/>
    <pivotField showAll="0"/>
    <pivotField showAll="0"/>
    <pivotField dataField="1" showAll="0"/>
    <pivotField showAll="0">
      <items count="3">
        <item x="0"/>
        <item x="1"/>
        <item t="default"/>
      </items>
    </pivotField>
    <pivotField showAll="0"/>
    <pivotField showAll="0">
      <items count="13">
        <item x="3"/>
        <item x="10"/>
        <item x="8"/>
        <item x="6"/>
        <item x="7"/>
        <item x="11"/>
        <item x="1"/>
        <item x="4"/>
        <item x="9"/>
        <item x="5"/>
        <item x="0"/>
        <item x="2"/>
        <item t="default"/>
      </items>
    </pivotField>
    <pivotField showAll="0"/>
    <pivotField showAll="0"/>
    <pivotField numFmtId="166" showAll="0"/>
    <pivotField dataField="1" showAll="0"/>
    <pivotField showAll="0"/>
    <pivotField showAll="0"/>
    <pivotField axis="axisRow" numFmtId="166" showAll="0">
      <items count="5">
        <item x="2"/>
        <item x="3"/>
        <item x="1"/>
        <item x="0"/>
        <item t="default"/>
      </items>
    </pivotField>
  </pivotFields>
  <rowFields count="1">
    <field x="20"/>
  </rowFields>
  <rowItems count="5">
    <i>
      <x/>
    </i>
    <i>
      <x v="1"/>
    </i>
    <i>
      <x v="2"/>
    </i>
    <i>
      <x v="3"/>
    </i>
    <i t="grand">
      <x/>
    </i>
  </rowItems>
  <colFields count="1">
    <field x="-2"/>
  </colFields>
  <colItems count="2">
    <i>
      <x/>
    </i>
    <i i="1">
      <x v="1"/>
    </i>
  </colItems>
  <dataFields count="2">
    <dataField name="Sum of total_sale" fld="10" baseField="0" baseItem="0"/>
    <dataField name="Sum of profit" fld="17"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5DCF663-F1E3-48D4-A340-CF66A279B738}"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52" firstHeaderRow="1" firstDataRow="1" firstDataCol="1"/>
  <pivotFields count="21">
    <pivotField showAll="0"/>
    <pivotField numFmtId="14" showAll="0"/>
    <pivotField numFmtId="21" showAll="0"/>
    <pivotField showAll="0"/>
    <pivotField showAll="0">
      <items count="3">
        <item x="1"/>
        <item x="0"/>
        <item t="default"/>
      </items>
    </pivotField>
    <pivotField axis="axisRow" showAll="0">
      <items count="49">
        <item x="11"/>
        <item x="18"/>
        <item x="4"/>
        <item x="36"/>
        <item x="40"/>
        <item x="30"/>
        <item x="8"/>
        <item x="24"/>
        <item x="38"/>
        <item x="6"/>
        <item x="17"/>
        <item x="32"/>
        <item x="33"/>
        <item x="7"/>
        <item x="16"/>
        <item x="37"/>
        <item x="19"/>
        <item x="23"/>
        <item x="39"/>
        <item x="31"/>
        <item x="5"/>
        <item x="9"/>
        <item x="27"/>
        <item x="2"/>
        <item x="0"/>
        <item x="25"/>
        <item x="22"/>
        <item x="47"/>
        <item x="14"/>
        <item x="1"/>
        <item x="35"/>
        <item x="42"/>
        <item x="28"/>
        <item x="20"/>
        <item x="12"/>
        <item x="41"/>
        <item x="21"/>
        <item x="29"/>
        <item x="46"/>
        <item x="34"/>
        <item x="10"/>
        <item x="43"/>
        <item x="26"/>
        <item x="13"/>
        <item x="45"/>
        <item x="44"/>
        <item x="15"/>
        <item x="3"/>
        <item t="default"/>
      </items>
    </pivotField>
    <pivotField showAll="0">
      <items count="4">
        <item x="1"/>
        <item x="0"/>
        <item x="2"/>
        <item t="default"/>
      </items>
    </pivotField>
    <pivotField showAll="0"/>
    <pivotField showAll="0"/>
    <pivotField showAll="0"/>
    <pivotField dataField="1" showAll="0"/>
    <pivotField showAll="0">
      <items count="3">
        <item x="0"/>
        <item x="1"/>
        <item t="default"/>
      </items>
    </pivotField>
    <pivotField showAll="0"/>
    <pivotField showAll="0">
      <items count="13">
        <item x="3"/>
        <item x="10"/>
        <item x="8"/>
        <item x="6"/>
        <item x="7"/>
        <item x="11"/>
        <item x="1"/>
        <item x="4"/>
        <item x="9"/>
        <item x="5"/>
        <item x="0"/>
        <item x="2"/>
        <item t="default"/>
      </items>
    </pivotField>
    <pivotField showAll="0"/>
    <pivotField showAll="0"/>
    <pivotField showAll="0"/>
    <pivotField showAll="0"/>
    <pivotField showAll="0"/>
    <pivotField showAll="0"/>
    <pivotField numFmtId="166" showAll="0">
      <items count="5">
        <item x="2"/>
        <item x="3"/>
        <item x="1"/>
        <item x="0"/>
        <item t="default"/>
      </items>
    </pivotField>
  </pivotFields>
  <rowFields count="1">
    <field x="5"/>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total_sale" fld="10"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2EA9FBF-F68C-4DC5-811E-685FF2197728}"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N16:P21" firstHeaderRow="0" firstDataRow="1" firstDataCol="1"/>
  <pivotFields count="21">
    <pivotField showAll="0"/>
    <pivotField numFmtId="14" showAll="0"/>
    <pivotField numFmtId="21" showAll="0"/>
    <pivotField showAll="0"/>
    <pivotField showAll="0">
      <items count="3">
        <item x="1"/>
        <item x="0"/>
        <item t="default"/>
      </items>
    </pivotField>
    <pivotField showAll="0"/>
    <pivotField showAll="0">
      <items count="4">
        <item x="1"/>
        <item x="0"/>
        <item x="2"/>
        <item t="default"/>
      </items>
    </pivotField>
    <pivotField showAll="0"/>
    <pivotField showAll="0"/>
    <pivotField showAll="0"/>
    <pivotField dataField="1" showAll="0"/>
    <pivotField showAll="0">
      <items count="3">
        <item x="0"/>
        <item x="1"/>
        <item t="default"/>
      </items>
    </pivotField>
    <pivotField showAll="0"/>
    <pivotField showAll="0">
      <items count="13">
        <item x="3"/>
        <item x="10"/>
        <item x="8"/>
        <item x="6"/>
        <item x="7"/>
        <item x="11"/>
        <item x="1"/>
        <item x="4"/>
        <item x="9"/>
        <item x="5"/>
        <item x="0"/>
        <item x="2"/>
        <item t="default"/>
      </items>
    </pivotField>
    <pivotField showAll="0"/>
    <pivotField showAll="0"/>
    <pivotField numFmtId="166" showAll="0"/>
    <pivotField dataField="1" showAll="0"/>
    <pivotField showAll="0"/>
    <pivotField showAll="0"/>
    <pivotField axis="axisRow" numFmtId="166" showAll="0">
      <items count="5">
        <item x="2"/>
        <item x="3"/>
        <item x="1"/>
        <item x="0"/>
        <item t="default"/>
      </items>
    </pivotField>
  </pivotFields>
  <rowFields count="1">
    <field x="20"/>
  </rowFields>
  <rowItems count="5">
    <i>
      <x/>
    </i>
    <i>
      <x v="1"/>
    </i>
    <i>
      <x v="2"/>
    </i>
    <i>
      <x v="3"/>
    </i>
    <i t="grand">
      <x/>
    </i>
  </rowItems>
  <colFields count="1">
    <field x="-2"/>
  </colFields>
  <colItems count="2">
    <i>
      <x/>
    </i>
    <i i="1">
      <x v="1"/>
    </i>
  </colItems>
  <dataFields count="2">
    <dataField name="Sum of total_sale" fld="10" baseField="0" baseItem="0"/>
    <dataField name="Sum of profit" fld="17"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FE1E5D9-FA21-4B44-91F1-5BF287F9496F}"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C11" firstHeaderRow="0" firstDataRow="1" firstDataCol="1"/>
  <pivotFields count="21">
    <pivotField showAll="0"/>
    <pivotField numFmtId="14" showAll="0"/>
    <pivotField numFmtId="21" showAll="0"/>
    <pivotField showAll="0"/>
    <pivotField showAll="0">
      <items count="3">
        <item x="1"/>
        <item x="0"/>
        <item t="default"/>
      </items>
    </pivotField>
    <pivotField showAll="0"/>
    <pivotField showAll="0">
      <items count="4">
        <item x="1"/>
        <item x="0"/>
        <item x="2"/>
        <item t="default"/>
      </items>
    </pivotField>
    <pivotField showAll="0"/>
    <pivotField showAll="0"/>
    <pivotField showAll="0"/>
    <pivotField dataField="1" showAll="0"/>
    <pivotField showAll="0">
      <items count="3">
        <item x="0"/>
        <item x="1"/>
        <item t="default"/>
      </items>
    </pivotField>
    <pivotField showAll="0"/>
    <pivotField showAll="0">
      <items count="13">
        <item x="3"/>
        <item x="10"/>
        <item x="8"/>
        <item x="6"/>
        <item x="7"/>
        <item x="11"/>
        <item x="1"/>
        <item x="4"/>
        <item x="9"/>
        <item x="5"/>
        <item x="0"/>
        <item x="2"/>
        <item t="default"/>
      </items>
    </pivotField>
    <pivotField showAll="0"/>
    <pivotField axis="axisRow" showAll="0">
      <items count="8">
        <item x="5"/>
        <item x="1"/>
        <item x="6"/>
        <item x="4"/>
        <item x="2"/>
        <item x="3"/>
        <item x="0"/>
        <item t="default"/>
      </items>
    </pivotField>
    <pivotField showAll="0"/>
    <pivotField dataField="1" showAll="0"/>
    <pivotField showAll="0"/>
    <pivotField showAll="0"/>
    <pivotField numFmtId="166" showAll="0">
      <items count="5">
        <item x="2"/>
        <item x="3"/>
        <item x="1"/>
        <item x="0"/>
        <item t="default"/>
      </items>
    </pivotField>
  </pivotFields>
  <rowFields count="1">
    <field x="15"/>
  </rowFields>
  <rowItems count="8">
    <i>
      <x/>
    </i>
    <i>
      <x v="1"/>
    </i>
    <i>
      <x v="2"/>
    </i>
    <i>
      <x v="3"/>
    </i>
    <i>
      <x v="4"/>
    </i>
    <i>
      <x v="5"/>
    </i>
    <i>
      <x v="6"/>
    </i>
    <i t="grand">
      <x/>
    </i>
  </rowItems>
  <colFields count="1">
    <field x="-2"/>
  </colFields>
  <colItems count="2">
    <i>
      <x/>
    </i>
    <i i="1">
      <x v="1"/>
    </i>
  </colItems>
  <dataFields count="2">
    <dataField name="Sum of profit" fld="17" baseField="0" baseItem="0"/>
    <dataField name="Sum of total_sale" fld="10" baseField="0" baseItem="0"/>
  </dataFields>
  <formats count="2">
    <format dxfId="1">
      <pivotArea collapsedLevelsAreSubtotals="1" fieldPosition="0">
        <references count="2">
          <reference field="4294967294" count="1" selected="0">
            <x v="0"/>
          </reference>
          <reference field="15" count="0"/>
        </references>
      </pivotArea>
    </format>
    <format dxfId="0">
      <pivotArea collapsedLevelsAreSubtotals="1" fieldPosition="0">
        <references count="2">
          <reference field="4294967294" count="1" selected="0">
            <x v="1"/>
          </reference>
          <reference field="15" count="0"/>
        </references>
      </pivotArea>
    </format>
  </format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5" count="1" selected="0">
            <x v="4"/>
          </reference>
        </references>
      </pivotArea>
    </chartFormat>
    <chartFormat chart="12" format="5"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4AE3FC9-A92D-4B7E-AE88-7D9D2FAA36D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8" firstHeaderRow="0" firstDataRow="1" firstDataCol="1"/>
  <pivotFields count="21">
    <pivotField showAll="0"/>
    <pivotField numFmtId="14" showAll="0"/>
    <pivotField numFmtId="21" showAll="0"/>
    <pivotField showAll="0"/>
    <pivotField showAll="0">
      <items count="3">
        <item x="1"/>
        <item x="0"/>
        <item t="default"/>
      </items>
    </pivotField>
    <pivotField showAll="0"/>
    <pivotField showAll="0">
      <items count="4">
        <item x="1"/>
        <item x="0"/>
        <item x="2"/>
        <item t="default"/>
      </items>
    </pivotField>
    <pivotField showAll="0"/>
    <pivotField showAll="0"/>
    <pivotField showAll="0"/>
    <pivotField dataField="1" showAll="0"/>
    <pivotField showAll="0">
      <items count="3">
        <item x="0"/>
        <item x="1"/>
        <item t="default"/>
      </items>
    </pivotField>
    <pivotField showAll="0"/>
    <pivotField showAll="0">
      <items count="13">
        <item x="3"/>
        <item x="10"/>
        <item x="8"/>
        <item x="6"/>
        <item x="7"/>
        <item x="11"/>
        <item x="1"/>
        <item x="4"/>
        <item x="9"/>
        <item x="5"/>
        <item x="0"/>
        <item x="2"/>
        <item t="default"/>
      </items>
    </pivotField>
    <pivotField showAll="0"/>
    <pivotField showAll="0"/>
    <pivotField numFmtId="166" showAll="0"/>
    <pivotField dataField="1" showAll="0"/>
    <pivotField showAll="0"/>
    <pivotField showAll="0"/>
    <pivotField axis="axisRow" numFmtId="166" showAll="0">
      <items count="5">
        <item x="2"/>
        <item x="3"/>
        <item x="1"/>
        <item x="0"/>
        <item t="default"/>
      </items>
    </pivotField>
  </pivotFields>
  <rowFields count="1">
    <field x="20"/>
  </rowFields>
  <rowItems count="5">
    <i>
      <x/>
    </i>
    <i>
      <x v="1"/>
    </i>
    <i>
      <x v="2"/>
    </i>
    <i>
      <x v="3"/>
    </i>
    <i t="grand">
      <x/>
    </i>
  </rowItems>
  <colFields count="1">
    <field x="-2"/>
  </colFields>
  <colItems count="2">
    <i>
      <x/>
    </i>
    <i i="1">
      <x v="1"/>
    </i>
  </colItems>
  <dataFields count="2">
    <dataField name="Sum of total_sale" fld="10" baseField="0" baseItem="0"/>
    <dataField name="Sum of profit" fld="17"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2FC6716-4D4E-4538-8E6A-4E58FE6E6998}" sourceName="gender">
  <pivotTables>
    <pivotTable tabId="9" name="PivotTable4"/>
    <pivotTable tabId="9" name="PivotTable6"/>
    <pivotTable tabId="3" name="PivotTable2"/>
    <pivotTable tabId="3" name="PivotTable3"/>
    <pivotTable tabId="10" name="PivotTable5"/>
    <pivotTable tabId="10" name="PivotTable7"/>
    <pivotTable tabId="8" name="PivotTable3"/>
    <pivotTable tabId="8" name="PivotTable5"/>
    <pivotTable tabId="4" name="PivotTable1"/>
    <pivotTable tabId="4" name="PivotTable4"/>
    <pivotTable tabId="17" name="PivotTable1"/>
  </pivotTables>
  <data>
    <tabular pivotCacheId="211437940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1878F2D-4EEE-4360-A2A4-891229270EE4}" sourceName="category">
  <pivotTables>
    <pivotTable tabId="9" name="PivotTable4"/>
    <pivotTable tabId="9" name="PivotTable6"/>
    <pivotTable tabId="3" name="PivotTable2"/>
    <pivotTable tabId="3" name="PivotTable3"/>
    <pivotTable tabId="10" name="PivotTable5"/>
    <pivotTable tabId="10" name="PivotTable7"/>
    <pivotTable tabId="8" name="PivotTable3"/>
    <pivotTable tabId="8" name="PivotTable5"/>
    <pivotTable tabId="4" name="PivotTable1"/>
    <pivotTable tabId="4" name="PivotTable4"/>
    <pivotTable tabId="17" name="PivotTable1"/>
  </pivotTables>
  <data>
    <tabular pivotCacheId="2114379406">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195650F-8208-4107-A3DA-8B293F11FC10}" sourceName="Year">
  <pivotTables>
    <pivotTable tabId="9" name="PivotTable4"/>
    <pivotTable tabId="9" name="PivotTable6"/>
    <pivotTable tabId="3" name="PivotTable2"/>
    <pivotTable tabId="3" name="PivotTable3"/>
    <pivotTable tabId="10" name="PivotTable5"/>
    <pivotTable tabId="10" name="PivotTable7"/>
    <pivotTable tabId="8" name="PivotTable3"/>
    <pivotTable tabId="8" name="PivotTable5"/>
    <pivotTable tabId="4" name="PivotTable1"/>
    <pivotTable tabId="4" name="PivotTable4"/>
    <pivotTable tabId="17" name="PivotTable1"/>
  </pivotTables>
  <data>
    <tabular pivotCacheId="2114379406">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15C39D54-771B-4CE3-9E3E-C86CABCA7135}" sourceName="month_name">
  <pivotTables>
    <pivotTable tabId="9" name="PivotTable4"/>
    <pivotTable tabId="9" name="PivotTable6"/>
    <pivotTable tabId="3" name="PivotTable2"/>
    <pivotTable tabId="3" name="PivotTable3"/>
    <pivotTable tabId="10" name="PivotTable5"/>
    <pivotTable tabId="10" name="PivotTable7"/>
    <pivotTable tabId="8" name="PivotTable3"/>
    <pivotTable tabId="8" name="PivotTable5"/>
    <pivotTable tabId="4" name="PivotTable1"/>
    <pivotTable tabId="4" name="PivotTable4"/>
    <pivotTable tabId="17" name="PivotTable1"/>
  </pivotTables>
  <data>
    <tabular pivotCacheId="2114379406">
      <items count="12">
        <i x="3" s="1"/>
        <i x="10" s="1"/>
        <i x="8" s="1"/>
        <i x="6" s="1"/>
        <i x="7" s="1"/>
        <i x="11" s="1"/>
        <i x="1" s="1"/>
        <i x="4" s="1"/>
        <i x="9" s="1"/>
        <i x="5"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_Label" xr10:uid="{4F61EC7E-C91C-4757-94D7-F0938663B545}" sourceName="Quarter_Label">
  <pivotTables>
    <pivotTable tabId="9" name="PivotTable4"/>
    <pivotTable tabId="9" name="PivotTable6"/>
    <pivotTable tabId="3" name="PivotTable2"/>
    <pivotTable tabId="3" name="PivotTable3"/>
    <pivotTable tabId="10" name="PivotTable5"/>
    <pivotTable tabId="10" name="PivotTable7"/>
    <pivotTable tabId="8" name="PivotTable3"/>
    <pivotTable tabId="8" name="PivotTable5"/>
    <pivotTable tabId="4" name="PivotTable1"/>
    <pivotTable tabId="4" name="PivotTable4"/>
    <pivotTable tabId="17" name="PivotTable1"/>
  </pivotTables>
  <data>
    <tabular pivotCacheId="2114379406">
      <items count="4">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F02304D-4890-43A0-B9AE-FA88874EC2DF}" cache="Slicer_gender" caption="gender" style="Slicer Style 1" rowHeight="234950"/>
  <slicer name="category" xr10:uid="{A57CB3B7-7974-4858-9231-384525778BEB}" cache="Slicer_category" caption="category" style="Slicer Style 1" rowHeight="234950"/>
  <slicer name="Year" xr10:uid="{159EA005-5C59-4F0A-9532-E31600F45886}" cache="Slicer_Year" caption="Year" style="Slicer Style 1" rowHeight="234950"/>
  <slicer name="month_name" xr10:uid="{49C35E7D-925C-4EFD-909C-55873A3A7BDB}" cache="Slicer_month_name" caption="month_name" style="Slicer Style 1" rowHeight="234950"/>
  <slicer name="Quarter_Label 1" xr10:uid="{7C621588-4D94-499A-95D5-7E7A7C5B5AFA}" cache="Slicer_Quarter_Label" caption="Quarter_Label" style="Slicer Style 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_Label" xr10:uid="{D66B9109-6EED-4783-A1B7-B105A28C5426}" cache="Slicer_Quarter_Label" caption="Quarter_Label" style="Slicer Style 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B20AD78D-00CD-412E-810B-DAA146298B0B}" cache="Slicer_gender" caption="gender" style="Slicer Style 1" rowHeight="234950"/>
  <slicer name="category 2" xr10:uid="{5BD5A1CB-0F15-4809-A27B-CB22382B3FA9}" cache="Slicer_category" caption="category" style="Slicer Style 1" rowHeight="234950"/>
  <slicer name="Year 1" xr10:uid="{9D56CD9F-DB92-405A-9E3E-7A6182602B52}" cache="Slicer_Year" caption="Year" style="Slicer Style 1" rowHeight="234950"/>
  <slicer name="month_name 1" xr10:uid="{C6296070-0C9D-43C7-9F75-10302F72892C}" cache="Slicer_month_name" caption="month_name" startItem="1" style="Slicer Style 1" rowHeight="234950"/>
  <slicer name="Quarter_Label 2" xr10:uid="{054BC0D2-7104-4BF6-8B42-CE44294DDD51}" cache="Slicer_Quarter_Label" caption="Quarter_Label" style="Slicer Style 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12.xml"/></Relationships>
</file>

<file path=xl/worksheets/_rels/sheet8.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42B2A-7596-47A7-865D-284ADD5B5154}">
  <dimension ref="A3:H29"/>
  <sheetViews>
    <sheetView topLeftCell="C2" workbookViewId="0">
      <selection activeCell="B22" sqref="B22"/>
    </sheetView>
  </sheetViews>
  <sheetFormatPr defaultRowHeight="14.4" x14ac:dyDescent="0.3"/>
  <cols>
    <col min="4" max="4" width="23.44140625" bestFit="1" customWidth="1"/>
    <col min="6" max="6" width="22.109375" bestFit="1" customWidth="1"/>
    <col min="8" max="8" width="11.88671875" bestFit="1" customWidth="1"/>
  </cols>
  <sheetData>
    <row r="3" spans="1:8" x14ac:dyDescent="0.3">
      <c r="A3" s="1"/>
      <c r="B3" s="2"/>
      <c r="C3" s="3"/>
    </row>
    <row r="4" spans="1:8" x14ac:dyDescent="0.3">
      <c r="A4" s="4"/>
      <c r="B4" s="5"/>
      <c r="C4" s="6"/>
    </row>
    <row r="5" spans="1:8" x14ac:dyDescent="0.3">
      <c r="A5" s="4"/>
      <c r="B5" s="5"/>
      <c r="C5" s="6"/>
    </row>
    <row r="6" spans="1:8" x14ac:dyDescent="0.3">
      <c r="A6" s="4"/>
      <c r="B6" s="5"/>
      <c r="C6" s="6"/>
    </row>
    <row r="7" spans="1:8" x14ac:dyDescent="0.3">
      <c r="A7" s="4"/>
      <c r="B7" s="5"/>
      <c r="C7" s="6"/>
    </row>
    <row r="8" spans="1:8" x14ac:dyDescent="0.3">
      <c r="A8" s="4"/>
      <c r="B8" s="5"/>
      <c r="C8" s="6"/>
      <c r="D8" s="16" t="s">
        <v>31</v>
      </c>
      <c r="F8" t="s">
        <v>28</v>
      </c>
    </row>
    <row r="9" spans="1:8" x14ac:dyDescent="0.3">
      <c r="A9" s="4"/>
      <c r="B9" s="5"/>
      <c r="C9" s="6"/>
      <c r="D9">
        <v>2000</v>
      </c>
      <c r="F9" s="10" t="e">
        <f>H13 /D9</f>
        <v>#REF!</v>
      </c>
    </row>
    <row r="10" spans="1:8" x14ac:dyDescent="0.3">
      <c r="A10" s="4"/>
      <c r="B10" s="5"/>
      <c r="C10" s="6"/>
    </row>
    <row r="11" spans="1:8" x14ac:dyDescent="0.3">
      <c r="A11" s="4"/>
      <c r="B11" s="5"/>
      <c r="C11" s="6"/>
    </row>
    <row r="12" spans="1:8" x14ac:dyDescent="0.3">
      <c r="A12" s="4"/>
      <c r="B12" s="5"/>
      <c r="C12" s="6"/>
      <c r="D12" s="16" t="s">
        <v>24</v>
      </c>
      <c r="F12" s="16" t="s">
        <v>25</v>
      </c>
      <c r="H12" s="16" t="s">
        <v>26</v>
      </c>
    </row>
    <row r="13" spans="1:8" x14ac:dyDescent="0.3">
      <c r="A13" s="4"/>
      <c r="B13" s="5"/>
      <c r="C13" s="6"/>
      <c r="D13" s="10" t="e">
        <f>SUM(#REF!)</f>
        <v>#REF!</v>
      </c>
      <c r="F13" s="11" t="e">
        <f>H13 /D13</f>
        <v>#REF!</v>
      </c>
      <c r="H13" s="10" t="e">
        <f>SUM(#REF!)</f>
        <v>#REF!</v>
      </c>
    </row>
    <row r="14" spans="1:8" x14ac:dyDescent="0.3">
      <c r="A14" s="4"/>
      <c r="B14" s="5"/>
      <c r="C14" s="6"/>
    </row>
    <row r="15" spans="1:8" x14ac:dyDescent="0.3">
      <c r="A15" s="4"/>
      <c r="B15" s="5"/>
      <c r="C15" s="6"/>
    </row>
    <row r="16" spans="1:8" x14ac:dyDescent="0.3">
      <c r="A16" s="4"/>
      <c r="B16" s="5"/>
      <c r="C16" s="6"/>
      <c r="D16" s="16" t="s">
        <v>27</v>
      </c>
      <c r="F16" t="s">
        <v>32</v>
      </c>
    </row>
    <row r="17" spans="1:6" x14ac:dyDescent="0.3">
      <c r="A17" s="4"/>
      <c r="B17" s="5"/>
      <c r="C17" s="6"/>
      <c r="D17" s="10" t="e">
        <f>D13 / D9</f>
        <v>#REF!</v>
      </c>
      <c r="F17" cm="1">
        <f t="array" ref="F17">COUNT(_xlfn.UNIQUE(_xlfn._xlws.FILTER(D2:D2000,COUNTIF(D2:D2000,D2:D2000)&gt;=2)))</f>
        <v>0</v>
      </c>
    </row>
    <row r="18" spans="1:6" x14ac:dyDescent="0.3">
      <c r="A18" s="4"/>
      <c r="B18" s="5"/>
      <c r="C18" s="6"/>
    </row>
    <row r="19" spans="1:6" x14ac:dyDescent="0.3">
      <c r="A19" s="4"/>
      <c r="B19" s="5"/>
      <c r="C19" s="6"/>
    </row>
    <row r="20" spans="1:6" x14ac:dyDescent="0.3">
      <c r="A20" s="7"/>
      <c r="B20" s="8"/>
      <c r="C20" s="9"/>
    </row>
    <row r="21" spans="1:6" x14ac:dyDescent="0.3">
      <c r="D21" s="16" t="s">
        <v>29</v>
      </c>
      <c r="F21" s="16" t="s">
        <v>30</v>
      </c>
    </row>
    <row r="22" spans="1:6" x14ac:dyDescent="0.3">
      <c r="D22">
        <f>COUNTA(_xlfn.UNIQUE(#REF!))</f>
        <v>1</v>
      </c>
      <c r="F22" s="10" t="e">
        <f>D13 / D22</f>
        <v>#REF!</v>
      </c>
    </row>
    <row r="28" spans="1:6" x14ac:dyDescent="0.3">
      <c r="D28" s="10"/>
    </row>
    <row r="29" spans="1:6" x14ac:dyDescent="0.3">
      <c r="D29" s="1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1A117-9BF3-400C-8DF0-8BE812441EFC}">
  <dimension ref="A3:C32"/>
  <sheetViews>
    <sheetView workbookViewId="0">
      <selection activeCell="A28" sqref="A28:A31"/>
    </sheetView>
  </sheetViews>
  <sheetFormatPr defaultRowHeight="14.4" x14ac:dyDescent="0.3"/>
  <cols>
    <col min="1" max="1" width="12.5546875" bestFit="1" customWidth="1"/>
    <col min="2" max="2" width="15.6640625" bestFit="1" customWidth="1"/>
    <col min="3" max="3" width="12.109375" bestFit="1" customWidth="1"/>
  </cols>
  <sheetData>
    <row r="3" spans="1:3" x14ac:dyDescent="0.3">
      <c r="A3" s="12" t="s">
        <v>34</v>
      </c>
      <c r="B3" t="s">
        <v>24</v>
      </c>
      <c r="C3" t="s">
        <v>33</v>
      </c>
    </row>
    <row r="4" spans="1:3" x14ac:dyDescent="0.3">
      <c r="A4" s="13" t="s">
        <v>4</v>
      </c>
      <c r="B4" s="14">
        <v>286840</v>
      </c>
      <c r="C4" s="14">
        <v>228630.14999999991</v>
      </c>
    </row>
    <row r="5" spans="1:3" x14ac:dyDescent="0.3">
      <c r="A5" s="13" t="s">
        <v>1</v>
      </c>
      <c r="B5" s="14">
        <v>311070</v>
      </c>
      <c r="C5" s="14">
        <v>246679.49999999991</v>
      </c>
    </row>
    <row r="6" spans="1:3" x14ac:dyDescent="0.3">
      <c r="A6" s="13" t="s">
        <v>13</v>
      </c>
      <c r="B6" s="14">
        <v>313810</v>
      </c>
      <c r="C6" s="14">
        <v>246647.64999999997</v>
      </c>
    </row>
    <row r="7" spans="1:3" x14ac:dyDescent="0.3">
      <c r="A7" s="13" t="s">
        <v>35</v>
      </c>
      <c r="B7" s="18">
        <v>911720</v>
      </c>
      <c r="C7" s="18">
        <v>721957.29999999981</v>
      </c>
    </row>
    <row r="27" spans="1:3" x14ac:dyDescent="0.3">
      <c r="A27" s="12" t="s">
        <v>34</v>
      </c>
      <c r="B27" t="s">
        <v>36</v>
      </c>
      <c r="C27" t="s">
        <v>33</v>
      </c>
    </row>
    <row r="28" spans="1:3" x14ac:dyDescent="0.3">
      <c r="A28" s="17">
        <v>1</v>
      </c>
      <c r="B28" s="18">
        <v>132740</v>
      </c>
      <c r="C28" s="18">
        <v>111719.9</v>
      </c>
    </row>
    <row r="29" spans="1:3" x14ac:dyDescent="0.3">
      <c r="A29" s="17">
        <v>2</v>
      </c>
      <c r="B29" s="18">
        <v>147875</v>
      </c>
      <c r="C29" s="18">
        <v>123244.45</v>
      </c>
    </row>
    <row r="30" spans="1:3" x14ac:dyDescent="0.3">
      <c r="A30" s="17">
        <v>3</v>
      </c>
      <c r="B30" s="18">
        <v>236915</v>
      </c>
      <c r="C30" s="18">
        <v>188692.10000000003</v>
      </c>
    </row>
    <row r="31" spans="1:3" x14ac:dyDescent="0.3">
      <c r="A31" s="17">
        <v>4</v>
      </c>
      <c r="B31" s="18">
        <v>394190</v>
      </c>
      <c r="C31" s="18">
        <v>298300.84999999998</v>
      </c>
    </row>
    <row r="32" spans="1:3" x14ac:dyDescent="0.3">
      <c r="A32" s="17" t="s">
        <v>35</v>
      </c>
      <c r="B32" s="18">
        <v>911720</v>
      </c>
      <c r="C32" s="18">
        <v>721957.3</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816BC-A3F7-46DF-B3CF-7A20826A550D}">
  <dimension ref="A3:E29"/>
  <sheetViews>
    <sheetView topLeftCell="A7" workbookViewId="0">
      <selection activeCell="C24" sqref="C24:E29"/>
    </sheetView>
  </sheetViews>
  <sheetFormatPr defaultRowHeight="14.4" x14ac:dyDescent="0.3"/>
  <cols>
    <col min="1" max="1" width="12.5546875" bestFit="1" customWidth="1"/>
    <col min="2" max="2" width="15.6640625" bestFit="1" customWidth="1"/>
    <col min="3" max="3" width="12.5546875" bestFit="1" customWidth="1"/>
    <col min="4" max="4" width="15.6640625" bestFit="1" customWidth="1"/>
    <col min="5" max="5" width="12.109375" bestFit="1" customWidth="1"/>
  </cols>
  <sheetData>
    <row r="3" spans="1:3" ht="21.6" customHeight="1" x14ac:dyDescent="0.3">
      <c r="A3" s="12" t="s">
        <v>34</v>
      </c>
      <c r="B3" t="s">
        <v>36</v>
      </c>
      <c r="C3" t="s">
        <v>33</v>
      </c>
    </row>
    <row r="4" spans="1:3" x14ac:dyDescent="0.3">
      <c r="A4" s="13" t="s">
        <v>9</v>
      </c>
      <c r="B4" s="14">
        <v>46425</v>
      </c>
      <c r="C4" s="14">
        <v>39444.55000000001</v>
      </c>
    </row>
    <row r="5" spans="1:3" x14ac:dyDescent="0.3">
      <c r="A5" s="13" t="s">
        <v>22</v>
      </c>
      <c r="B5" s="14">
        <v>41280</v>
      </c>
      <c r="C5" s="14">
        <v>34536.249999999993</v>
      </c>
    </row>
    <row r="6" spans="1:3" x14ac:dyDescent="0.3">
      <c r="A6" s="13" t="s">
        <v>18</v>
      </c>
      <c r="B6" s="14">
        <v>45035</v>
      </c>
      <c r="C6" s="14">
        <v>37739.100000000006</v>
      </c>
    </row>
    <row r="7" spans="1:3" x14ac:dyDescent="0.3">
      <c r="A7" s="13" t="s">
        <v>14</v>
      </c>
      <c r="B7" s="14">
        <v>50630</v>
      </c>
      <c r="C7" s="14">
        <v>42234.650000000009</v>
      </c>
    </row>
    <row r="8" spans="1:3" x14ac:dyDescent="0.3">
      <c r="A8" s="13" t="s">
        <v>16</v>
      </c>
      <c r="B8" s="14">
        <v>51990</v>
      </c>
      <c r="C8" s="14">
        <v>43553.450000000004</v>
      </c>
    </row>
    <row r="9" spans="1:3" x14ac:dyDescent="0.3">
      <c r="A9" s="13" t="s">
        <v>23</v>
      </c>
      <c r="B9" s="14">
        <v>45255</v>
      </c>
      <c r="C9" s="14">
        <v>37456.350000000006</v>
      </c>
    </row>
    <row r="10" spans="1:3" x14ac:dyDescent="0.3">
      <c r="A10" s="13" t="s">
        <v>5</v>
      </c>
      <c r="B10" s="14">
        <v>58120</v>
      </c>
      <c r="C10" s="14">
        <v>48564.999999999985</v>
      </c>
    </row>
    <row r="11" spans="1:3" x14ac:dyDescent="0.3">
      <c r="A11" s="13" t="s">
        <v>11</v>
      </c>
      <c r="B11" s="14">
        <v>49465</v>
      </c>
      <c r="C11" s="14">
        <v>41080.899999999994</v>
      </c>
    </row>
    <row r="12" spans="1:3" x14ac:dyDescent="0.3">
      <c r="A12" s="13" t="s">
        <v>21</v>
      </c>
      <c r="B12" s="14">
        <v>129330</v>
      </c>
      <c r="C12" s="14">
        <v>99046.2</v>
      </c>
    </row>
    <row r="13" spans="1:3" x14ac:dyDescent="0.3">
      <c r="A13" s="13" t="s">
        <v>12</v>
      </c>
      <c r="B13" s="14">
        <v>126115</v>
      </c>
      <c r="C13" s="14">
        <v>91749.900000000009</v>
      </c>
    </row>
    <row r="14" spans="1:3" x14ac:dyDescent="0.3">
      <c r="A14" s="13" t="s">
        <v>2</v>
      </c>
      <c r="B14" s="14">
        <v>126050</v>
      </c>
      <c r="C14" s="14">
        <v>97515.449999999983</v>
      </c>
    </row>
    <row r="15" spans="1:3" x14ac:dyDescent="0.3">
      <c r="A15" s="13" t="s">
        <v>7</v>
      </c>
      <c r="B15" s="14">
        <v>142025</v>
      </c>
      <c r="C15" s="14">
        <v>109035.5</v>
      </c>
    </row>
    <row r="16" spans="1:3" x14ac:dyDescent="0.3">
      <c r="A16" s="13" t="s">
        <v>35</v>
      </c>
      <c r="B16" s="18">
        <v>911720</v>
      </c>
      <c r="C16" s="18">
        <v>721957.3</v>
      </c>
    </row>
    <row r="24" spans="3:5" x14ac:dyDescent="0.3">
      <c r="C24" s="12" t="s">
        <v>34</v>
      </c>
      <c r="D24" t="s">
        <v>36</v>
      </c>
      <c r="E24" t="s">
        <v>33</v>
      </c>
    </row>
    <row r="25" spans="3:5" x14ac:dyDescent="0.3">
      <c r="C25" s="17">
        <v>1</v>
      </c>
      <c r="D25" s="18">
        <v>132740</v>
      </c>
      <c r="E25" s="18">
        <v>111719.9</v>
      </c>
    </row>
    <row r="26" spans="3:5" x14ac:dyDescent="0.3">
      <c r="C26" s="17">
        <v>2</v>
      </c>
      <c r="D26" s="18">
        <v>147875</v>
      </c>
      <c r="E26" s="18">
        <v>123244.45</v>
      </c>
    </row>
    <row r="27" spans="3:5" x14ac:dyDescent="0.3">
      <c r="C27" s="17">
        <v>3</v>
      </c>
      <c r="D27" s="18">
        <v>236915</v>
      </c>
      <c r="E27" s="18">
        <v>188692.10000000003</v>
      </c>
    </row>
    <row r="28" spans="3:5" x14ac:dyDescent="0.3">
      <c r="C28" s="17">
        <v>4</v>
      </c>
      <c r="D28" s="18">
        <v>394190</v>
      </c>
      <c r="E28" s="18">
        <v>298300.84999999998</v>
      </c>
    </row>
    <row r="29" spans="3:5" x14ac:dyDescent="0.3">
      <c r="C29" s="17" t="s">
        <v>35</v>
      </c>
      <c r="D29" s="18">
        <v>911720</v>
      </c>
      <c r="E29" s="18">
        <v>721957.3</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36A23-2E2D-42D4-A87B-366E53519CC9}">
  <dimension ref="A3:C26"/>
  <sheetViews>
    <sheetView workbookViewId="0">
      <selection activeCell="A21" sqref="A21:C26"/>
    </sheetView>
  </sheetViews>
  <sheetFormatPr defaultRowHeight="14.4" x14ac:dyDescent="0.3"/>
  <cols>
    <col min="1" max="1" width="12.5546875" bestFit="1" customWidth="1"/>
    <col min="2" max="2" width="15.6640625" bestFit="1" customWidth="1"/>
    <col min="3" max="3" width="12.109375" bestFit="1" customWidth="1"/>
  </cols>
  <sheetData>
    <row r="3" spans="1:2" x14ac:dyDescent="0.3">
      <c r="A3" s="12" t="s">
        <v>34</v>
      </c>
      <c r="B3" t="s">
        <v>36</v>
      </c>
    </row>
    <row r="4" spans="1:2" x14ac:dyDescent="0.3">
      <c r="A4" s="13" t="s">
        <v>6</v>
      </c>
      <c r="B4" s="14">
        <v>465400</v>
      </c>
    </row>
    <row r="5" spans="1:2" x14ac:dyDescent="0.3">
      <c r="A5" s="13" t="s">
        <v>0</v>
      </c>
      <c r="B5" s="14">
        <v>446320</v>
      </c>
    </row>
    <row r="6" spans="1:2" x14ac:dyDescent="0.3">
      <c r="A6" s="13" t="s">
        <v>35</v>
      </c>
      <c r="B6" s="18">
        <v>911720</v>
      </c>
    </row>
    <row r="21" spans="1:3" x14ac:dyDescent="0.3">
      <c r="A21" s="12" t="s">
        <v>34</v>
      </c>
      <c r="B21" t="s">
        <v>36</v>
      </c>
      <c r="C21" t="s">
        <v>33</v>
      </c>
    </row>
    <row r="22" spans="1:3" x14ac:dyDescent="0.3">
      <c r="A22" s="17">
        <v>1</v>
      </c>
      <c r="B22" s="18">
        <v>132740</v>
      </c>
      <c r="C22" s="18">
        <v>111719.9</v>
      </c>
    </row>
    <row r="23" spans="1:3" x14ac:dyDescent="0.3">
      <c r="A23" s="17">
        <v>2</v>
      </c>
      <c r="B23" s="18">
        <v>147875</v>
      </c>
      <c r="C23" s="18">
        <v>123244.45</v>
      </c>
    </row>
    <row r="24" spans="1:3" x14ac:dyDescent="0.3">
      <c r="A24" s="17">
        <v>3</v>
      </c>
      <c r="B24" s="18">
        <v>236915</v>
      </c>
      <c r="C24" s="18">
        <v>188692.10000000003</v>
      </c>
    </row>
    <row r="25" spans="1:3" x14ac:dyDescent="0.3">
      <c r="A25" s="17">
        <v>4</v>
      </c>
      <c r="B25" s="18">
        <v>394190</v>
      </c>
      <c r="C25" s="18">
        <v>298300.84999999998</v>
      </c>
    </row>
    <row r="26" spans="1:3" x14ac:dyDescent="0.3">
      <c r="A26" s="17" t="s">
        <v>35</v>
      </c>
      <c r="B26" s="18">
        <v>911720</v>
      </c>
      <c r="C26" s="18">
        <v>721957.3</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F7C8C-5268-43A8-A35E-D548BD3EE32F}">
  <dimension ref="A3:Q52"/>
  <sheetViews>
    <sheetView workbookViewId="0">
      <selection activeCell="O7" sqref="O7:Q12"/>
    </sheetView>
  </sheetViews>
  <sheetFormatPr defaultRowHeight="14.4" x14ac:dyDescent="0.3"/>
  <cols>
    <col min="1" max="1" width="12.5546875" bestFit="1" customWidth="1"/>
    <col min="2" max="2" width="15.6640625" bestFit="1" customWidth="1"/>
    <col min="15" max="15" width="12.5546875" bestFit="1" customWidth="1"/>
    <col min="16" max="16" width="15.6640625" bestFit="1" customWidth="1"/>
    <col min="17" max="17" width="12.109375" bestFit="1" customWidth="1"/>
  </cols>
  <sheetData>
    <row r="3" spans="1:17" x14ac:dyDescent="0.3">
      <c r="A3" s="12" t="s">
        <v>34</v>
      </c>
      <c r="B3" t="s">
        <v>36</v>
      </c>
    </row>
    <row r="4" spans="1:17" x14ac:dyDescent="0.3">
      <c r="A4" s="13">
        <v>0</v>
      </c>
      <c r="B4" s="18">
        <v>3490</v>
      </c>
    </row>
    <row r="5" spans="1:17" x14ac:dyDescent="0.3">
      <c r="A5" s="13">
        <v>18</v>
      </c>
      <c r="B5" s="18">
        <v>22340</v>
      </c>
    </row>
    <row r="6" spans="1:17" x14ac:dyDescent="0.3">
      <c r="A6" s="13">
        <v>19</v>
      </c>
      <c r="B6" s="18">
        <v>29690</v>
      </c>
    </row>
    <row r="7" spans="1:17" x14ac:dyDescent="0.3">
      <c r="A7" s="13">
        <v>20</v>
      </c>
      <c r="B7" s="18">
        <v>17290</v>
      </c>
      <c r="O7" s="12" t="s">
        <v>34</v>
      </c>
      <c r="P7" t="s">
        <v>36</v>
      </c>
      <c r="Q7" t="s">
        <v>33</v>
      </c>
    </row>
    <row r="8" spans="1:17" x14ac:dyDescent="0.3">
      <c r="A8" s="13">
        <v>21</v>
      </c>
      <c r="B8" s="18">
        <v>25170</v>
      </c>
      <c r="O8" s="17">
        <v>1</v>
      </c>
      <c r="P8" s="18">
        <v>132740</v>
      </c>
      <c r="Q8" s="18">
        <v>111719.9</v>
      </c>
    </row>
    <row r="9" spans="1:17" x14ac:dyDescent="0.3">
      <c r="A9" s="13">
        <v>22</v>
      </c>
      <c r="B9" s="18">
        <v>27400</v>
      </c>
      <c r="O9" s="17">
        <v>2</v>
      </c>
      <c r="P9" s="18">
        <v>147875</v>
      </c>
      <c r="Q9" s="18">
        <v>123244.45</v>
      </c>
    </row>
    <row r="10" spans="1:17" x14ac:dyDescent="0.3">
      <c r="A10" s="13">
        <v>23</v>
      </c>
      <c r="B10" s="18">
        <v>16440</v>
      </c>
      <c r="O10" s="17">
        <v>3</v>
      </c>
      <c r="P10" s="18">
        <v>236915</v>
      </c>
      <c r="Q10" s="18">
        <v>188692.10000000003</v>
      </c>
    </row>
    <row r="11" spans="1:17" x14ac:dyDescent="0.3">
      <c r="A11" s="13">
        <v>24</v>
      </c>
      <c r="B11" s="18">
        <v>10830</v>
      </c>
      <c r="O11" s="17">
        <v>4</v>
      </c>
      <c r="P11" s="18">
        <v>394190</v>
      </c>
      <c r="Q11" s="18">
        <v>298300.84999999998</v>
      </c>
    </row>
    <row r="12" spans="1:17" x14ac:dyDescent="0.3">
      <c r="A12" s="13">
        <v>25</v>
      </c>
      <c r="B12" s="18">
        <v>19800</v>
      </c>
      <c r="O12" s="17" t="s">
        <v>35</v>
      </c>
      <c r="P12" s="18">
        <v>911720</v>
      </c>
      <c r="Q12" s="18">
        <v>721957.3</v>
      </c>
    </row>
    <row r="13" spans="1:17" x14ac:dyDescent="0.3">
      <c r="A13" s="13">
        <v>26</v>
      </c>
      <c r="B13" s="18">
        <v>27960</v>
      </c>
    </row>
    <row r="14" spans="1:17" x14ac:dyDescent="0.3">
      <c r="A14" s="13">
        <v>27</v>
      </c>
      <c r="B14" s="18">
        <v>18770</v>
      </c>
    </row>
    <row r="15" spans="1:17" x14ac:dyDescent="0.3">
      <c r="A15" s="13">
        <v>28</v>
      </c>
      <c r="B15" s="18">
        <v>17340</v>
      </c>
    </row>
    <row r="16" spans="1:17" x14ac:dyDescent="0.3">
      <c r="A16" s="13">
        <v>29</v>
      </c>
      <c r="B16" s="18">
        <v>13140</v>
      </c>
    </row>
    <row r="17" spans="1:2" x14ac:dyDescent="0.3">
      <c r="A17" s="13">
        <v>30</v>
      </c>
      <c r="B17" s="18">
        <v>19580</v>
      </c>
    </row>
    <row r="18" spans="1:2" x14ac:dyDescent="0.3">
      <c r="A18" s="13">
        <v>31</v>
      </c>
      <c r="B18" s="18">
        <v>20440</v>
      </c>
    </row>
    <row r="19" spans="1:2" x14ac:dyDescent="0.3">
      <c r="A19" s="13">
        <v>32</v>
      </c>
      <c r="B19" s="18">
        <v>11100</v>
      </c>
    </row>
    <row r="20" spans="1:2" x14ac:dyDescent="0.3">
      <c r="A20" s="13">
        <v>33</v>
      </c>
      <c r="B20" s="18">
        <v>12390</v>
      </c>
    </row>
    <row r="21" spans="1:2" x14ac:dyDescent="0.3">
      <c r="A21" s="13">
        <v>34</v>
      </c>
      <c r="B21" s="18">
        <v>33570</v>
      </c>
    </row>
    <row r="22" spans="1:2" x14ac:dyDescent="0.3">
      <c r="A22" s="13">
        <v>35</v>
      </c>
      <c r="B22" s="18">
        <v>22580</v>
      </c>
    </row>
    <row r="23" spans="1:2" x14ac:dyDescent="0.3">
      <c r="A23" s="13">
        <v>36</v>
      </c>
      <c r="B23" s="18">
        <v>18210</v>
      </c>
    </row>
    <row r="24" spans="1:2" x14ac:dyDescent="0.3">
      <c r="A24" s="13">
        <v>37</v>
      </c>
      <c r="B24" s="18">
        <v>23300</v>
      </c>
    </row>
    <row r="25" spans="1:2" x14ac:dyDescent="0.3">
      <c r="A25" s="13">
        <v>38</v>
      </c>
      <c r="B25" s="18">
        <v>22200</v>
      </c>
    </row>
    <row r="26" spans="1:2" x14ac:dyDescent="0.3">
      <c r="A26" s="13">
        <v>39</v>
      </c>
      <c r="B26" s="18">
        <v>9190</v>
      </c>
    </row>
    <row r="27" spans="1:2" x14ac:dyDescent="0.3">
      <c r="A27" s="13">
        <v>40</v>
      </c>
      <c r="B27" s="18">
        <v>18755</v>
      </c>
    </row>
    <row r="28" spans="1:2" x14ac:dyDescent="0.3">
      <c r="A28" s="13">
        <v>41</v>
      </c>
      <c r="B28" s="18">
        <v>11300</v>
      </c>
    </row>
    <row r="29" spans="1:2" x14ac:dyDescent="0.3">
      <c r="A29" s="13">
        <v>42</v>
      </c>
      <c r="B29" s="18">
        <v>17000</v>
      </c>
    </row>
    <row r="30" spans="1:2" x14ac:dyDescent="0.3">
      <c r="A30" s="13">
        <v>43</v>
      </c>
      <c r="B30" s="18">
        <v>35940</v>
      </c>
    </row>
    <row r="31" spans="1:2" x14ac:dyDescent="0.3">
      <c r="A31" s="13">
        <v>44</v>
      </c>
      <c r="B31" s="18">
        <v>15120</v>
      </c>
    </row>
    <row r="32" spans="1:2" x14ac:dyDescent="0.3">
      <c r="A32" s="13">
        <v>45</v>
      </c>
      <c r="B32" s="18">
        <v>12650</v>
      </c>
    </row>
    <row r="33" spans="1:2" x14ac:dyDescent="0.3">
      <c r="A33" s="13">
        <v>46</v>
      </c>
      <c r="B33" s="18">
        <v>26180</v>
      </c>
    </row>
    <row r="34" spans="1:2" x14ac:dyDescent="0.3">
      <c r="A34" s="13">
        <v>47</v>
      </c>
      <c r="B34" s="18">
        <v>25010</v>
      </c>
    </row>
    <row r="35" spans="1:2" x14ac:dyDescent="0.3">
      <c r="A35" s="13">
        <v>48</v>
      </c>
      <c r="B35" s="18">
        <v>14480</v>
      </c>
    </row>
    <row r="36" spans="1:2" x14ac:dyDescent="0.3">
      <c r="A36" s="13">
        <v>49</v>
      </c>
      <c r="B36" s="18">
        <v>10220</v>
      </c>
    </row>
    <row r="37" spans="1:2" x14ac:dyDescent="0.3">
      <c r="A37" s="13">
        <v>50</v>
      </c>
      <c r="B37" s="18">
        <v>19690</v>
      </c>
    </row>
    <row r="38" spans="1:2" x14ac:dyDescent="0.3">
      <c r="A38" s="13">
        <v>51</v>
      </c>
      <c r="B38" s="18">
        <v>32055</v>
      </c>
    </row>
    <row r="39" spans="1:2" x14ac:dyDescent="0.3">
      <c r="A39" s="13">
        <v>52</v>
      </c>
      <c r="B39" s="18">
        <v>14080</v>
      </c>
    </row>
    <row r="40" spans="1:2" x14ac:dyDescent="0.3">
      <c r="A40" s="13">
        <v>53</v>
      </c>
      <c r="B40" s="18">
        <v>19020</v>
      </c>
    </row>
    <row r="41" spans="1:2" x14ac:dyDescent="0.3">
      <c r="A41" s="13">
        <v>54</v>
      </c>
      <c r="B41" s="18">
        <v>20010</v>
      </c>
    </row>
    <row r="42" spans="1:2" x14ac:dyDescent="0.3">
      <c r="A42" s="13">
        <v>55</v>
      </c>
      <c r="B42" s="18">
        <v>19560</v>
      </c>
    </row>
    <row r="43" spans="1:2" x14ac:dyDescent="0.3">
      <c r="A43" s="13">
        <v>56</v>
      </c>
      <c r="B43" s="18">
        <v>18880</v>
      </c>
    </row>
    <row r="44" spans="1:2" x14ac:dyDescent="0.3">
      <c r="A44" s="13">
        <v>57</v>
      </c>
      <c r="B44" s="18">
        <v>18430</v>
      </c>
    </row>
    <row r="45" spans="1:2" x14ac:dyDescent="0.3">
      <c r="A45" s="13">
        <v>58</v>
      </c>
      <c r="B45" s="18">
        <v>14550</v>
      </c>
    </row>
    <row r="46" spans="1:2" x14ac:dyDescent="0.3">
      <c r="A46" s="13">
        <v>59</v>
      </c>
      <c r="B46" s="18">
        <v>18940</v>
      </c>
    </row>
    <row r="47" spans="1:2" x14ac:dyDescent="0.3">
      <c r="A47" s="13">
        <v>60</v>
      </c>
      <c r="B47" s="18">
        <v>21180</v>
      </c>
    </row>
    <row r="48" spans="1:2" x14ac:dyDescent="0.3">
      <c r="A48" s="13">
        <v>61</v>
      </c>
      <c r="B48" s="18">
        <v>13460</v>
      </c>
    </row>
    <row r="49" spans="1:2" x14ac:dyDescent="0.3">
      <c r="A49" s="13">
        <v>62</v>
      </c>
      <c r="B49" s="18">
        <v>16240</v>
      </c>
    </row>
    <row r="50" spans="1:2" x14ac:dyDescent="0.3">
      <c r="A50" s="13">
        <v>63</v>
      </c>
      <c r="B50" s="18">
        <v>18500</v>
      </c>
    </row>
    <row r="51" spans="1:2" x14ac:dyDescent="0.3">
      <c r="A51" s="13">
        <v>64</v>
      </c>
      <c r="B51" s="18">
        <v>18250</v>
      </c>
    </row>
    <row r="52" spans="1:2" x14ac:dyDescent="0.3">
      <c r="A52" s="13" t="s">
        <v>35</v>
      </c>
      <c r="B52" s="18">
        <v>911720</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6B1D1-5643-44A0-A0D3-AE54F2BFDB66}">
  <dimension ref="A3:P21"/>
  <sheetViews>
    <sheetView workbookViewId="0">
      <selection activeCell="N16" sqref="N16:P21"/>
    </sheetView>
  </sheetViews>
  <sheetFormatPr defaultRowHeight="14.4" x14ac:dyDescent="0.3"/>
  <cols>
    <col min="1" max="1" width="12.5546875" bestFit="1" customWidth="1"/>
    <col min="2" max="2" width="12.109375" bestFit="1" customWidth="1"/>
    <col min="3" max="3" width="15.6640625" bestFit="1" customWidth="1"/>
    <col min="14" max="14" width="12.5546875" bestFit="1" customWidth="1"/>
    <col min="15" max="15" width="15.6640625" bestFit="1" customWidth="1"/>
    <col min="16" max="16" width="12.109375" bestFit="1" customWidth="1"/>
  </cols>
  <sheetData>
    <row r="3" spans="1:16" x14ac:dyDescent="0.3">
      <c r="A3" s="12" t="s">
        <v>34</v>
      </c>
      <c r="B3" t="s">
        <v>33</v>
      </c>
      <c r="C3" t="s">
        <v>36</v>
      </c>
    </row>
    <row r="4" spans="1:16" x14ac:dyDescent="0.3">
      <c r="A4" s="13" t="s">
        <v>19</v>
      </c>
      <c r="B4" s="14">
        <v>121007.1</v>
      </c>
      <c r="C4" s="14">
        <v>153800</v>
      </c>
    </row>
    <row r="5" spans="1:16" x14ac:dyDescent="0.3">
      <c r="A5" s="13" t="s">
        <v>8</v>
      </c>
      <c r="B5" s="14">
        <v>118174.79999999996</v>
      </c>
      <c r="C5" s="14">
        <v>147695</v>
      </c>
    </row>
    <row r="6" spans="1:16" x14ac:dyDescent="0.3">
      <c r="A6" s="13" t="s">
        <v>20</v>
      </c>
      <c r="B6" s="14">
        <v>83141.450000000012</v>
      </c>
      <c r="C6" s="14">
        <v>103395</v>
      </c>
    </row>
    <row r="7" spans="1:16" x14ac:dyDescent="0.3">
      <c r="A7" s="13" t="s">
        <v>17</v>
      </c>
      <c r="B7" s="14">
        <v>94948.249999999985</v>
      </c>
      <c r="C7" s="14">
        <v>120615</v>
      </c>
    </row>
    <row r="8" spans="1:16" x14ac:dyDescent="0.3">
      <c r="A8" s="13" t="s">
        <v>10</v>
      </c>
      <c r="B8" s="14">
        <v>99708.450000000012</v>
      </c>
      <c r="C8" s="14">
        <v>124085</v>
      </c>
    </row>
    <row r="9" spans="1:16" x14ac:dyDescent="0.3">
      <c r="A9" s="13" t="s">
        <v>15</v>
      </c>
      <c r="B9" s="14">
        <v>95685.900000000023</v>
      </c>
      <c r="C9" s="14">
        <v>120730</v>
      </c>
    </row>
    <row r="10" spans="1:16" x14ac:dyDescent="0.3">
      <c r="A10" s="13" t="s">
        <v>3</v>
      </c>
      <c r="B10" s="14">
        <v>109291.34999999998</v>
      </c>
      <c r="C10" s="14">
        <v>141400</v>
      </c>
    </row>
    <row r="11" spans="1:16" x14ac:dyDescent="0.3">
      <c r="A11" s="13" t="s">
        <v>35</v>
      </c>
      <c r="B11" s="18">
        <v>721957.29999999993</v>
      </c>
      <c r="C11" s="18">
        <v>911720</v>
      </c>
    </row>
    <row r="16" spans="1:16" x14ac:dyDescent="0.3">
      <c r="N16" s="12" t="s">
        <v>34</v>
      </c>
      <c r="O16" t="s">
        <v>36</v>
      </c>
      <c r="P16" t="s">
        <v>33</v>
      </c>
    </row>
    <row r="17" spans="14:16" x14ac:dyDescent="0.3">
      <c r="N17" s="17">
        <v>1</v>
      </c>
      <c r="O17" s="18">
        <v>132740</v>
      </c>
      <c r="P17" s="18">
        <v>111719.9</v>
      </c>
    </row>
    <row r="18" spans="14:16" x14ac:dyDescent="0.3">
      <c r="N18" s="17">
        <v>2</v>
      </c>
      <c r="O18" s="18">
        <v>147875</v>
      </c>
      <c r="P18" s="18">
        <v>123244.45</v>
      </c>
    </row>
    <row r="19" spans="14:16" x14ac:dyDescent="0.3">
      <c r="N19" s="17">
        <v>3</v>
      </c>
      <c r="O19" s="18">
        <v>236915</v>
      </c>
      <c r="P19" s="18">
        <v>188692.10000000003</v>
      </c>
    </row>
    <row r="20" spans="14:16" x14ac:dyDescent="0.3">
      <c r="N20" s="17">
        <v>4</v>
      </c>
      <c r="O20" s="18">
        <v>394190</v>
      </c>
      <c r="P20" s="18">
        <v>298300.84999999998</v>
      </c>
    </row>
    <row r="21" spans="14:16" x14ac:dyDescent="0.3">
      <c r="N21" s="17" t="s">
        <v>35</v>
      </c>
      <c r="O21" s="18">
        <v>911720</v>
      </c>
      <c r="P21" s="18">
        <v>721957.3</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C24AB-0CE5-4C5B-B845-DCD5C5443F8A}">
  <dimension ref="A3:C8"/>
  <sheetViews>
    <sheetView workbookViewId="0">
      <selection activeCell="A3" sqref="A3:C8"/>
    </sheetView>
  </sheetViews>
  <sheetFormatPr defaultRowHeight="14.4" x14ac:dyDescent="0.3"/>
  <cols>
    <col min="1" max="1" width="12.5546875" bestFit="1" customWidth="1"/>
    <col min="2" max="2" width="15.6640625" bestFit="1" customWidth="1"/>
    <col min="3" max="3" width="12.109375" bestFit="1" customWidth="1"/>
  </cols>
  <sheetData>
    <row r="3" spans="1:3" x14ac:dyDescent="0.3">
      <c r="A3" s="12" t="s">
        <v>34</v>
      </c>
      <c r="B3" t="s">
        <v>36</v>
      </c>
      <c r="C3" t="s">
        <v>33</v>
      </c>
    </row>
    <row r="4" spans="1:3" x14ac:dyDescent="0.3">
      <c r="A4" s="17">
        <v>1</v>
      </c>
      <c r="B4" s="18">
        <v>132740</v>
      </c>
      <c r="C4" s="18">
        <v>111719.9</v>
      </c>
    </row>
    <row r="5" spans="1:3" x14ac:dyDescent="0.3">
      <c r="A5" s="17">
        <v>2</v>
      </c>
      <c r="B5" s="18">
        <v>147875</v>
      </c>
      <c r="C5" s="18">
        <v>123244.45</v>
      </c>
    </row>
    <row r="6" spans="1:3" x14ac:dyDescent="0.3">
      <c r="A6" s="17">
        <v>3</v>
      </c>
      <c r="B6" s="18">
        <v>236915</v>
      </c>
      <c r="C6" s="18">
        <v>188692.10000000003</v>
      </c>
    </row>
    <row r="7" spans="1:3" x14ac:dyDescent="0.3">
      <c r="A7" s="17">
        <v>4</v>
      </c>
      <c r="B7" s="18">
        <v>394190</v>
      </c>
      <c r="C7" s="18">
        <v>298300.84999999998</v>
      </c>
    </row>
    <row r="8" spans="1:3" x14ac:dyDescent="0.3">
      <c r="A8" s="17" t="s">
        <v>35</v>
      </c>
      <c r="B8" s="18">
        <v>911720</v>
      </c>
      <c r="C8" s="18">
        <v>721957.3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3DDE7-EEB0-48AF-88C3-84CE60F190FF}">
  <dimension ref="V4"/>
  <sheetViews>
    <sheetView showGridLines="0" showRowColHeaders="0" tabSelected="1" zoomScale="36" workbookViewId="0">
      <selection activeCell="L38" sqref="L38"/>
    </sheetView>
  </sheetViews>
  <sheetFormatPr defaultRowHeight="14.4" x14ac:dyDescent="0.3"/>
  <cols>
    <col min="1" max="16384" width="8.88671875" style="15"/>
  </cols>
  <sheetData>
    <row r="4" spans="22:22" x14ac:dyDescent="0.3">
      <c r="V4" s="1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Over view</vt:lpstr>
      <vt:lpstr>Category</vt:lpstr>
      <vt:lpstr>Monthly</vt:lpstr>
      <vt:lpstr>Gender</vt:lpstr>
      <vt:lpstr>Age</vt:lpstr>
      <vt:lpstr>Day</vt:lpstr>
      <vt:lpstr>Quarter</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pritam senapati</dc:creator>
  <cp:lastModifiedBy>pritam senapati</cp:lastModifiedBy>
  <dcterms:created xsi:type="dcterms:W3CDTF">2026-02-28T03:46:10Z</dcterms:created>
  <dcterms:modified xsi:type="dcterms:W3CDTF">2026-03-01T08:49:37Z</dcterms:modified>
</cp:coreProperties>
</file>